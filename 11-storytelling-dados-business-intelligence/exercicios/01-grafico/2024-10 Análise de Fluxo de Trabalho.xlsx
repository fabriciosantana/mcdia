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senadofederal.sharepoint.com/sites/COLEP/Documentos Compartilhados/Planejamento e Gestão/2022/Fluxo do Trabalho/"/>
    </mc:Choice>
  </mc:AlternateContent>
  <xr:revisionPtr revIDLastSave="200" documentId="8_{CC11557F-CEE7-45F8-85D7-D3E0EC8EA371}" xr6:coauthVersionLast="47" xr6:coauthVersionMax="47" xr10:uidLastSave="{A9F86F2F-9699-4D88-B062-E4493A8E2991}"/>
  <bookViews>
    <workbookView xWindow="-120" yWindow="-120" windowWidth="29040" windowHeight="15720" tabRatio="853" xr2:uid="{00000000-000D-0000-FFFF-FFFF00000000}"/>
  </bookViews>
  <sheets>
    <sheet name="Painel" sheetId="8" r:id="rId1"/>
    <sheet name="Fluxo de tickets" sheetId="1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1" l="1"/>
  <c r="H54" i="1"/>
  <c r="J44" i="1"/>
  <c r="K44" i="1" s="1"/>
  <c r="L44" i="1"/>
  <c r="O44" i="1"/>
  <c r="J45" i="1"/>
  <c r="K45" i="1"/>
  <c r="L45" i="1"/>
  <c r="J46" i="1"/>
  <c r="L46" i="1"/>
  <c r="J47" i="1"/>
  <c r="K47" i="1" s="1"/>
  <c r="L47" i="1"/>
  <c r="J48" i="1"/>
  <c r="K48" i="1" s="1"/>
  <c r="L48" i="1"/>
  <c r="J49" i="1"/>
  <c r="K49" i="1"/>
  <c r="L49" i="1"/>
  <c r="J50" i="1"/>
  <c r="L50" i="1"/>
  <c r="J51" i="1"/>
  <c r="K51" i="1" s="1"/>
  <c r="L51" i="1"/>
  <c r="O51" i="1"/>
  <c r="J52" i="1"/>
  <c r="K52" i="1" s="1"/>
  <c r="L52" i="1"/>
  <c r="J53" i="1"/>
  <c r="K53" i="1"/>
  <c r="L53" i="1"/>
  <c r="G54" i="1"/>
  <c r="F54" i="1"/>
  <c r="C54" i="1"/>
  <c r="E54" i="1"/>
  <c r="D44" i="1"/>
  <c r="D45" i="1" s="1"/>
  <c r="D46" i="1" s="1"/>
  <c r="D47" i="1" s="1"/>
  <c r="D48" i="1" s="1"/>
  <c r="D49" i="1" s="1"/>
  <c r="D50" i="1" s="1"/>
  <c r="D51" i="1" s="1"/>
  <c r="D52" i="1" s="1"/>
  <c r="D53" i="1" s="1"/>
  <c r="J25" i="1"/>
  <c r="K25" i="1" s="1"/>
  <c r="L25" i="1"/>
  <c r="J26" i="1"/>
  <c r="K26" i="1" s="1"/>
  <c r="L26" i="1"/>
  <c r="J27" i="1"/>
  <c r="O27" i="1" s="1"/>
  <c r="L27" i="1"/>
  <c r="J28" i="1"/>
  <c r="K28" i="1" s="1"/>
  <c r="L28" i="1"/>
  <c r="J29" i="1"/>
  <c r="K29" i="1" s="1"/>
  <c r="L29" i="1"/>
  <c r="J30" i="1"/>
  <c r="K30" i="1"/>
  <c r="L30" i="1"/>
  <c r="J31" i="1"/>
  <c r="L31" i="1"/>
  <c r="J32" i="1"/>
  <c r="K32" i="1" s="1"/>
  <c r="L32" i="1"/>
  <c r="J33" i="1"/>
  <c r="K33" i="1" s="1"/>
  <c r="L33" i="1"/>
  <c r="J34" i="1"/>
  <c r="K34" i="1" s="1"/>
  <c r="L34" i="1"/>
  <c r="J35" i="1"/>
  <c r="L35" i="1"/>
  <c r="J36" i="1"/>
  <c r="K36" i="1" s="1"/>
  <c r="L36" i="1"/>
  <c r="J37" i="1"/>
  <c r="K37" i="1" s="1"/>
  <c r="L37" i="1"/>
  <c r="J38" i="1"/>
  <c r="K38" i="1" s="1"/>
  <c r="L38" i="1"/>
  <c r="J39" i="1"/>
  <c r="L39" i="1"/>
  <c r="J40" i="1"/>
  <c r="K40" i="1" s="1"/>
  <c r="L40" i="1"/>
  <c r="J41" i="1"/>
  <c r="K41" i="1" s="1"/>
  <c r="L41" i="1"/>
  <c r="J42" i="1"/>
  <c r="K42" i="1" s="1"/>
  <c r="L42" i="1"/>
  <c r="J43" i="1"/>
  <c r="L43" i="1"/>
  <c r="L9" i="1"/>
  <c r="L24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J9" i="1"/>
  <c r="K9" i="1" s="1"/>
  <c r="J10" i="1"/>
  <c r="O10" i="1" s="1"/>
  <c r="J11" i="1"/>
  <c r="O11" i="1" s="1"/>
  <c r="J12" i="1"/>
  <c r="K12" i="1" s="1"/>
  <c r="J24" i="1"/>
  <c r="O24" i="1" s="1"/>
  <c r="J13" i="1"/>
  <c r="K13" i="1" s="1"/>
  <c r="J14" i="1"/>
  <c r="O14" i="1" s="1"/>
  <c r="J15" i="1"/>
  <c r="J16" i="1"/>
  <c r="J17" i="1"/>
  <c r="J18" i="1"/>
  <c r="K18" i="1" s="1"/>
  <c r="J19" i="1"/>
  <c r="O19" i="1" s="1"/>
  <c r="J20" i="1"/>
  <c r="O20" i="1" s="1"/>
  <c r="J21" i="1"/>
  <c r="K21" i="1" s="1"/>
  <c r="J22" i="1"/>
  <c r="K22" i="1" s="1"/>
  <c r="J23" i="1"/>
  <c r="K23" i="1" s="1"/>
  <c r="E4" i="1"/>
  <c r="M8" i="1" s="1"/>
  <c r="M9" i="1" s="1"/>
  <c r="O47" i="1" l="1"/>
  <c r="O52" i="1"/>
  <c r="K50" i="1"/>
  <c r="O48" i="1"/>
  <c r="K46" i="1"/>
  <c r="O53" i="1"/>
  <c r="O49" i="1"/>
  <c r="O45" i="1"/>
  <c r="O50" i="1"/>
  <c r="O46" i="1"/>
  <c r="O36" i="1"/>
  <c r="K27" i="1"/>
  <c r="O28" i="1"/>
  <c r="O32" i="1"/>
  <c r="O25" i="1"/>
  <c r="O40" i="1"/>
  <c r="L54" i="1"/>
  <c r="K43" i="1"/>
  <c r="O41" i="1"/>
  <c r="K39" i="1"/>
  <c r="O37" i="1"/>
  <c r="K35" i="1"/>
  <c r="O33" i="1"/>
  <c r="K31" i="1"/>
  <c r="O29" i="1"/>
  <c r="O42" i="1"/>
  <c r="O38" i="1"/>
  <c r="O34" i="1"/>
  <c r="O30" i="1"/>
  <c r="O26" i="1"/>
  <c r="O43" i="1"/>
  <c r="O39" i="1"/>
  <c r="O35" i="1"/>
  <c r="O31" i="1"/>
  <c r="O17" i="1"/>
  <c r="K17" i="1"/>
  <c r="O16" i="1"/>
  <c r="K16" i="1"/>
  <c r="O15" i="1"/>
  <c r="K15" i="1"/>
  <c r="K14" i="1"/>
  <c r="O9" i="1"/>
  <c r="N9" i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O23" i="1"/>
  <c r="O22" i="1"/>
  <c r="O18" i="1"/>
  <c r="O21" i="1"/>
  <c r="O13" i="1"/>
  <c r="O12" i="1"/>
  <c r="K20" i="1"/>
  <c r="K19" i="1"/>
  <c r="K11" i="1"/>
  <c r="K10" i="1"/>
  <c r="M10" i="1"/>
  <c r="K24" i="1"/>
  <c r="D8" i="1"/>
  <c r="D9" i="1" s="1"/>
  <c r="D10" i="1" l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M11" i="1"/>
  <c r="D31" i="1" l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M12" i="1"/>
  <c r="M13" i="1" l="1"/>
  <c r="M14" i="1" l="1"/>
  <c r="M15" i="1" l="1"/>
  <c r="M16" i="1" l="1"/>
  <c r="M17" i="1" l="1"/>
  <c r="M18" i="1" l="1"/>
  <c r="M19" i="1" l="1"/>
  <c r="M20" i="1" l="1"/>
  <c r="M21" i="1" l="1"/>
  <c r="M22" i="1" l="1"/>
  <c r="M23" i="1" l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FACB3E-FF82-4240-AD55-6A6E6485C9E0}" keepAlive="1" name="Consulta - issues" description="Conexão com a consulta 'issues' na pasta de trabalho." type="5" refreshedVersion="8" background="1" saveData="1">
    <dbPr connection="Provider=Microsoft.Mashup.OleDb.1;Data Source=$Workbook$;Location=issues;Extended Properties=&quot;&quot;" command="SELECT * FROM [issues]"/>
  </connection>
  <connection id="2" xr16:uid="{512E5707-42D3-4B5B-B669-94E8A3DF0632}" keepAlive="1" name="Consulta - issues (2)" description="Conexão com a consulta 'issues (2)' na pasta de trabalho." type="5" refreshedVersion="8" background="1" saveData="1">
    <dbPr connection="Provider=Microsoft.Mashup.OleDb.1;Data Source=$Workbook$;Location=&quot;issues (2)&quot;;Extended Properties=&quot;&quot;" command="SELECT * FROM [issues (2)]"/>
  </connection>
  <connection id="3" xr16:uid="{8F1DD6CD-53AA-48E4-B19A-159301B95644}" keepAlive="1" name="Consulta - Tickets fechados em 2022" description="Conexão com a consulta 'Tickets fechados em 2022' na pasta de trabalho." type="5" refreshedVersion="8" background="1" saveData="1">
    <dbPr connection="Provider=Microsoft.Mashup.OleDb.1;Data Source=$Workbook$;Location=&quot;Tickets fechados em 2022&quot;;Extended Properties=&quot;&quot;" command="SELECT * FROM [Tickets fechados em 2022]"/>
  </connection>
  <connection id="4" xr16:uid="{6E297E01-AF56-407F-BA43-2C3BDAA525B9}" keepAlive="1" name="Consulta - Tickets_fechados_em_2021" description="Conexão com a consulta 'Tickets_fechados_em_2021' na pasta de trabalho." type="5" refreshedVersion="0" background="1" saveData="1">
    <dbPr connection="Provider=Microsoft.Mashup.OleDb.1;Data Source=$Workbook$;Location=Tickets_fechados_em_2021;Extended Properties=&quot;&quot;" command="SELECT * FROM [Tickets_fechados_em_2021]"/>
  </connection>
</connections>
</file>

<file path=xl/sharedStrings.xml><?xml version="1.0" encoding="utf-8"?>
<sst xmlns="http://schemas.openxmlformats.org/spreadsheetml/2006/main" count="29" uniqueCount="21">
  <si>
    <t>TICKETS CRIADOS ATÉ 2020</t>
  </si>
  <si>
    <t>Qtd. tickets na situação ABERTO
(posição de 30/03/2023)</t>
  </si>
  <si>
    <t>Qtd. tickets fechados após 2020</t>
  </si>
  <si>
    <r>
      <rPr>
        <sz val="10"/>
        <color theme="1"/>
        <rFont val="Arial"/>
        <family val="2"/>
      </rPr>
      <t xml:space="preserve">Saldo de tickets abertos em 31/12/2020
</t>
    </r>
    <r>
      <rPr>
        <b/>
        <sz val="10"/>
        <color theme="1"/>
        <rFont val="Arial"/>
        <family val="2"/>
      </rPr>
      <t>(A)</t>
    </r>
  </si>
  <si>
    <t>TICKETES CRIADOS ATÉ 2020</t>
  </si>
  <si>
    <t>TICKETS CRIADOS A PARTIR DE 2020</t>
  </si>
  <si>
    <r>
      <rPr>
        <sz val="10"/>
        <color theme="1"/>
        <rFont val="Arial"/>
        <family val="2"/>
      </rPr>
      <t xml:space="preserve">Qtd. tickets fechados do saldo de tickets criados até 2020 
</t>
    </r>
    <r>
      <rPr>
        <b/>
        <sz val="10"/>
        <color theme="1"/>
        <rFont val="Arial"/>
        <family val="2"/>
      </rPr>
      <t>(B)</t>
    </r>
  </si>
  <si>
    <r>
      <rPr>
        <sz val="10"/>
        <color theme="1"/>
        <rFont val="Arial"/>
        <family val="2"/>
      </rPr>
      <t>Saldo de tickets criados até 2020 
(</t>
    </r>
    <r>
      <rPr>
        <b/>
        <sz val="10"/>
        <color theme="1"/>
        <rFont val="Arial"/>
        <family val="2"/>
      </rPr>
      <t>C = A - B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</si>
  <si>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Arial"/>
        <family val="2"/>
      </rPr>
      <t xml:space="preserve">Qtd. tickets criados no período 
</t>
    </r>
    <r>
      <rPr>
        <b/>
        <sz val="10"/>
        <color theme="1"/>
        <rFont val="Arial"/>
        <family val="2"/>
      </rPr>
      <t>(D)</t>
    </r>
  </si>
  <si>
    <r>
      <t xml:space="preserve">Qtd. tickets criados e fechados no período 
</t>
    </r>
    <r>
      <rPr>
        <b/>
        <sz val="10"/>
        <color theme="1"/>
        <rFont val="Arial"/>
        <family val="2"/>
        <scheme val="minor"/>
      </rPr>
      <t>(E)</t>
    </r>
  </si>
  <si>
    <r>
      <t xml:space="preserve">Qtd. tickets fechados retroativamente </t>
    </r>
    <r>
      <rPr>
        <b/>
        <sz val="10"/>
        <color theme="1"/>
        <rFont val="Arial"/>
        <family val="2"/>
      </rPr>
      <t>(F)</t>
    </r>
  </si>
  <si>
    <r>
      <t xml:space="preserve">Qtd. Tickets criados no período e fechados sem data conclusão 
</t>
    </r>
    <r>
      <rPr>
        <b/>
        <sz val="10"/>
        <color rgb="FFFF0000"/>
        <rFont val="Arial"/>
        <family val="2"/>
      </rPr>
      <t>(G)</t>
    </r>
  </si>
  <si>
    <r>
      <t xml:space="preserve">Qtd. tickets fechados do saldo de tickets criados a partir de 2021
</t>
    </r>
    <r>
      <rPr>
        <b/>
        <sz val="10"/>
        <color theme="1"/>
        <rFont val="Arial"/>
        <family val="2"/>
      </rPr>
      <t>(I)</t>
    </r>
  </si>
  <si>
    <r>
      <t xml:space="preserve">Saldo do período 
</t>
    </r>
    <r>
      <rPr>
        <b/>
        <sz val="10"/>
        <color theme="1"/>
        <rFont val="Arial"/>
        <family val="2"/>
      </rPr>
      <t>(H = D - E - F - G)</t>
    </r>
  </si>
  <si>
    <r>
      <t xml:space="preserve">Qtd. Tickes fechados no período (total) 
</t>
    </r>
    <r>
      <rPr>
        <b/>
        <sz val="10"/>
        <color theme="1"/>
        <rFont val="Arial"/>
        <family val="2"/>
        <scheme val="minor"/>
      </rPr>
      <t>(J = D - H)</t>
    </r>
  </si>
  <si>
    <r>
      <t xml:space="preserve">Qtd. tickets fechados consolidado 
</t>
    </r>
    <r>
      <rPr>
        <b/>
        <sz val="10"/>
        <color theme="1"/>
        <rFont val="Arial"/>
        <family val="2"/>
      </rPr>
      <t>(K = B + E + F + G + I)</t>
    </r>
  </si>
  <si>
    <t>Saldo consolidado (total)</t>
  </si>
  <si>
    <t>Saldo de tickets criados a partir de 2021</t>
  </si>
  <si>
    <r>
      <t xml:space="preserve">% de tickets criados no mês que não foram concluídos no próprio mês
</t>
    </r>
    <r>
      <rPr>
        <b/>
        <sz val="10"/>
        <color theme="1"/>
        <rFont val="Arial"/>
        <family val="2"/>
        <scheme val="minor"/>
      </rPr>
      <t>(H / D)</t>
    </r>
  </si>
  <si>
    <t>-</t>
  </si>
  <si>
    <t>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</si>
</sst>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name val="Arial"/>
      <family val="2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  <font>
      <u/>
      <sz val="10"/>
      <color rgb="FF1155CC"/>
      <name val="Arial"/>
      <family val="2"/>
    </font>
    <font>
      <u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0"/>
      <color rgb="FFFF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theme="7" tint="0.79998168889431442"/>
        <bgColor rgb="FFD9EAD3"/>
      </patternFill>
    </fill>
    <fill>
      <patternFill patternType="solid">
        <fgColor theme="7" tint="0.59999389629810485"/>
        <bgColor rgb="FFD9EAD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rgb="FFFFF2CC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0.249977111117893"/>
        <bgColor rgb="FFB7B7B7"/>
      </patternFill>
    </fill>
    <fill>
      <patternFill patternType="solid">
        <fgColor theme="2" tint="-0.249977111117893"/>
        <bgColor rgb="FFD9EAD3"/>
      </patternFill>
    </fill>
    <fill>
      <patternFill patternType="solid">
        <fgColor theme="2" tint="-0.249977111117893"/>
        <bgColor rgb="FFC9DAF8"/>
      </patternFill>
    </fill>
    <fill>
      <patternFill patternType="solid">
        <fgColor theme="9" tint="0.59999389629810485"/>
        <bgColor rgb="FFB7B7B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9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/>
    <xf numFmtId="0" fontId="1" fillId="0" borderId="7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8" xfId="0" applyFont="1" applyBorder="1"/>
    <xf numFmtId="0" fontId="5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164" fontId="5" fillId="0" borderId="1" xfId="0" applyNumberFormat="1" applyFont="1" applyBorder="1"/>
    <xf numFmtId="164" fontId="5" fillId="0" borderId="3" xfId="0" applyNumberFormat="1" applyFont="1" applyBorder="1"/>
    <xf numFmtId="0" fontId="5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3" fontId="5" fillId="5" borderId="8" xfId="0" applyNumberFormat="1" applyFont="1" applyFill="1" applyBorder="1"/>
    <xf numFmtId="164" fontId="1" fillId="0" borderId="1" xfId="0" applyNumberFormat="1" applyFont="1" applyBorder="1"/>
    <xf numFmtId="164" fontId="1" fillId="0" borderId="3" xfId="0" applyNumberFormat="1" applyFont="1" applyBorder="1"/>
    <xf numFmtId="0" fontId="7" fillId="0" borderId="8" xfId="0" applyFont="1" applyBorder="1"/>
    <xf numFmtId="0" fontId="8" fillId="0" borderId="8" xfId="0" applyFont="1" applyBorder="1"/>
    <xf numFmtId="0" fontId="1" fillId="0" borderId="8" xfId="0" applyFont="1" applyBorder="1"/>
    <xf numFmtId="3" fontId="1" fillId="0" borderId="1" xfId="0" applyNumberFormat="1" applyFont="1" applyBorder="1"/>
    <xf numFmtId="0" fontId="5" fillId="0" borderId="1" xfId="0" applyFont="1" applyBorder="1" applyAlignment="1">
      <alignment horizontal="center"/>
    </xf>
    <xf numFmtId="3" fontId="5" fillId="0" borderId="9" xfId="0" applyNumberFormat="1" applyFont="1" applyBorder="1"/>
    <xf numFmtId="0" fontId="9" fillId="6" borderId="8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/>
    </xf>
    <xf numFmtId="3" fontId="1" fillId="8" borderId="8" xfId="0" applyNumberFormat="1" applyFont="1" applyFill="1" applyBorder="1"/>
    <xf numFmtId="0" fontId="5" fillId="9" borderId="8" xfId="0" applyFont="1" applyFill="1" applyBorder="1" applyAlignment="1">
      <alignment horizontal="center"/>
    </xf>
    <xf numFmtId="0" fontId="1" fillId="9" borderId="8" xfId="0" applyFont="1" applyFill="1" applyBorder="1"/>
    <xf numFmtId="0" fontId="9" fillId="10" borderId="8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/>
    </xf>
    <xf numFmtId="3" fontId="1" fillId="11" borderId="8" xfId="0" applyNumberFormat="1" applyFont="1" applyFill="1" applyBorder="1"/>
    <xf numFmtId="0" fontId="1" fillId="12" borderId="8" xfId="0" applyFont="1" applyFill="1" applyBorder="1" applyAlignment="1">
      <alignment horizontal="center" vertical="center" wrapText="1"/>
    </xf>
    <xf numFmtId="0" fontId="9" fillId="13" borderId="8" xfId="0" applyFont="1" applyFill="1" applyBorder="1" applyAlignment="1">
      <alignment horizontal="center" vertical="center" wrapText="1"/>
    </xf>
    <xf numFmtId="3" fontId="5" fillId="11" borderId="8" xfId="0" applyNumberFormat="1" applyFont="1" applyFill="1" applyBorder="1"/>
    <xf numFmtId="3" fontId="6" fillId="0" borderId="9" xfId="0" applyNumberFormat="1" applyFont="1" applyBorder="1"/>
    <xf numFmtId="0" fontId="9" fillId="14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/>
    </xf>
    <xf numFmtId="3" fontId="5" fillId="5" borderId="4" xfId="0" applyNumberFormat="1" applyFont="1" applyFill="1" applyBorder="1"/>
    <xf numFmtId="0" fontId="1" fillId="15" borderId="17" xfId="0" applyFont="1" applyFill="1" applyBorder="1" applyAlignment="1">
      <alignment horizontal="center" vertical="center" wrapText="1"/>
    </xf>
    <xf numFmtId="9" fontId="1" fillId="16" borderId="16" xfId="1" applyFont="1" applyFill="1" applyBorder="1"/>
    <xf numFmtId="0" fontId="0" fillId="17" borderId="0" xfId="0" applyFill="1"/>
    <xf numFmtId="0" fontId="14" fillId="0" borderId="8" xfId="2" applyBorder="1"/>
    <xf numFmtId="0" fontId="14" fillId="0" borderId="8" xfId="3" applyBorder="1"/>
    <xf numFmtId="0" fontId="15" fillId="0" borderId="8" xfId="3" applyFont="1" applyBorder="1"/>
    <xf numFmtId="0" fontId="2" fillId="2" borderId="4" xfId="0" applyFont="1" applyFill="1" applyBorder="1" applyAlignment="1">
      <alignment horizontal="center" wrapText="1"/>
    </xf>
    <xf numFmtId="0" fontId="3" fillId="0" borderId="6" xfId="0" applyFont="1" applyBorder="1"/>
    <xf numFmtId="0" fontId="1" fillId="0" borderId="12" xfId="0" applyFont="1" applyBorder="1" applyAlignment="1">
      <alignment horizontal="center" wrapText="1"/>
    </xf>
    <xf numFmtId="0" fontId="3" fillId="0" borderId="13" xfId="0" applyFont="1" applyBorder="1"/>
    <xf numFmtId="0" fontId="3" fillId="0" borderId="5" xfId="0" applyFont="1" applyBorder="1"/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</cellXfs>
  <cellStyles count="4">
    <cellStyle name="Hiperlink" xfId="3" builtinId="8"/>
    <cellStyle name="Hyperlink" xfId="2" xr:uid="{00000000-000B-0000-0000-000008000000}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Saldo de tickets:</a:t>
            </a:r>
            <a:r>
              <a:rPr lang="pt-BR" baseline="0"/>
              <a:t> criados até 2020 x consolidado</a:t>
            </a:r>
            <a:br>
              <a:rPr lang="pt-BR" baseline="0"/>
            </a:br>
            <a:r>
              <a:rPr lang="pt-BR" baseline="0"/>
              <a:t>Tickets criados x saldo do período x saldo a partir de 2021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753634598100978E-2"/>
          <c:y val="0.14335571984946571"/>
          <c:w val="0.83775780081118478"/>
          <c:h val="0.6265788328044003"/>
        </c:manualLayout>
      </c:layout>
      <c:barChart>
        <c:barDir val="col"/>
        <c:grouping val="stacked"/>
        <c:varyColors val="0"/>
        <c:ser>
          <c:idx val="3"/>
          <c:order val="4"/>
          <c:tx>
            <c:strRef>
              <c:f>'Fluxo de tickets'!$J$7</c:f>
              <c:strCache>
                <c:ptCount val="1"/>
                <c:pt idx="0">
                  <c:v>Saldo do período 
(H = D - E - F - G)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'Fluxo de tickets'!$J$8:$J$53</c:f>
              <c:numCache>
                <c:formatCode>#,##0</c:formatCode>
                <c:ptCount val="46"/>
                <c:pt idx="0" formatCode="General">
                  <c:v>0</c:v>
                </c:pt>
                <c:pt idx="1">
                  <c:v>48</c:v>
                </c:pt>
                <c:pt idx="2">
                  <c:v>144</c:v>
                </c:pt>
                <c:pt idx="3">
                  <c:v>186</c:v>
                </c:pt>
                <c:pt idx="4">
                  <c:v>131</c:v>
                </c:pt>
                <c:pt idx="5">
                  <c:v>104</c:v>
                </c:pt>
                <c:pt idx="6">
                  <c:v>126</c:v>
                </c:pt>
                <c:pt idx="7">
                  <c:v>89</c:v>
                </c:pt>
                <c:pt idx="8">
                  <c:v>178</c:v>
                </c:pt>
                <c:pt idx="9">
                  <c:v>132</c:v>
                </c:pt>
                <c:pt idx="10">
                  <c:v>114</c:v>
                </c:pt>
                <c:pt idx="11">
                  <c:v>176</c:v>
                </c:pt>
                <c:pt idx="12">
                  <c:v>129</c:v>
                </c:pt>
                <c:pt idx="13">
                  <c:v>98</c:v>
                </c:pt>
                <c:pt idx="14">
                  <c:v>136</c:v>
                </c:pt>
                <c:pt idx="15">
                  <c:v>181</c:v>
                </c:pt>
                <c:pt idx="16">
                  <c:v>135</c:v>
                </c:pt>
                <c:pt idx="17">
                  <c:v>151</c:v>
                </c:pt>
                <c:pt idx="18">
                  <c:v>156</c:v>
                </c:pt>
                <c:pt idx="19">
                  <c:v>59</c:v>
                </c:pt>
                <c:pt idx="20">
                  <c:v>184</c:v>
                </c:pt>
                <c:pt idx="21">
                  <c:v>152</c:v>
                </c:pt>
                <c:pt idx="22">
                  <c:v>84</c:v>
                </c:pt>
                <c:pt idx="23">
                  <c:v>293</c:v>
                </c:pt>
                <c:pt idx="24">
                  <c:v>178</c:v>
                </c:pt>
                <c:pt idx="25">
                  <c:v>75</c:v>
                </c:pt>
                <c:pt idx="26">
                  <c:v>176</c:v>
                </c:pt>
                <c:pt idx="27">
                  <c:v>222</c:v>
                </c:pt>
                <c:pt idx="28">
                  <c:v>244</c:v>
                </c:pt>
                <c:pt idx="29">
                  <c:v>292</c:v>
                </c:pt>
                <c:pt idx="30">
                  <c:v>358</c:v>
                </c:pt>
                <c:pt idx="31">
                  <c:v>187</c:v>
                </c:pt>
                <c:pt idx="32">
                  <c:v>286</c:v>
                </c:pt>
                <c:pt idx="33">
                  <c:v>201</c:v>
                </c:pt>
                <c:pt idx="34">
                  <c:v>248</c:v>
                </c:pt>
                <c:pt idx="35">
                  <c:v>373</c:v>
                </c:pt>
                <c:pt idx="36">
                  <c:v>269</c:v>
                </c:pt>
                <c:pt idx="37">
                  <c:v>125</c:v>
                </c:pt>
                <c:pt idx="38">
                  <c:v>188</c:v>
                </c:pt>
                <c:pt idx="39">
                  <c:v>269</c:v>
                </c:pt>
                <c:pt idx="40">
                  <c:v>290</c:v>
                </c:pt>
                <c:pt idx="41">
                  <c:v>228</c:v>
                </c:pt>
                <c:pt idx="42">
                  <c:v>178</c:v>
                </c:pt>
                <c:pt idx="43">
                  <c:v>219</c:v>
                </c:pt>
                <c:pt idx="44">
                  <c:v>246</c:v>
                </c:pt>
                <c:pt idx="45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4-49E5-8ACA-D337A2D99A76}"/>
            </c:ext>
          </c:extLst>
        </c:ser>
        <c:ser>
          <c:idx val="5"/>
          <c:order val="5"/>
          <c:tx>
            <c:strRef>
              <c:f>'Fluxo de tickets'!$K$7</c:f>
              <c:strCache>
                <c:ptCount val="1"/>
                <c:pt idx="0">
                  <c:v>Qtd. Tickes fechados no período (total) 
(J = D - H)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'Fluxo de tickets'!$K$8:$K$53</c:f>
              <c:numCache>
                <c:formatCode>#,##0</c:formatCode>
                <c:ptCount val="46"/>
                <c:pt idx="0" formatCode="General">
                  <c:v>0</c:v>
                </c:pt>
                <c:pt idx="1">
                  <c:v>146</c:v>
                </c:pt>
                <c:pt idx="2">
                  <c:v>191</c:v>
                </c:pt>
                <c:pt idx="3">
                  <c:v>288</c:v>
                </c:pt>
                <c:pt idx="4">
                  <c:v>215</c:v>
                </c:pt>
                <c:pt idx="5">
                  <c:v>298</c:v>
                </c:pt>
                <c:pt idx="6">
                  <c:v>246</c:v>
                </c:pt>
                <c:pt idx="7">
                  <c:v>184</c:v>
                </c:pt>
                <c:pt idx="8">
                  <c:v>283</c:v>
                </c:pt>
                <c:pt idx="9">
                  <c:v>229</c:v>
                </c:pt>
                <c:pt idx="10">
                  <c:v>204</c:v>
                </c:pt>
                <c:pt idx="11">
                  <c:v>272</c:v>
                </c:pt>
                <c:pt idx="12">
                  <c:v>263</c:v>
                </c:pt>
                <c:pt idx="13">
                  <c:v>143</c:v>
                </c:pt>
                <c:pt idx="14">
                  <c:v>362</c:v>
                </c:pt>
                <c:pt idx="15">
                  <c:v>368</c:v>
                </c:pt>
                <c:pt idx="16">
                  <c:v>306</c:v>
                </c:pt>
                <c:pt idx="17">
                  <c:v>383</c:v>
                </c:pt>
                <c:pt idx="18">
                  <c:v>360</c:v>
                </c:pt>
                <c:pt idx="19">
                  <c:v>231</c:v>
                </c:pt>
                <c:pt idx="20">
                  <c:v>375</c:v>
                </c:pt>
                <c:pt idx="21">
                  <c:v>344</c:v>
                </c:pt>
                <c:pt idx="22">
                  <c:v>323</c:v>
                </c:pt>
                <c:pt idx="23">
                  <c:v>401</c:v>
                </c:pt>
                <c:pt idx="24">
                  <c:v>354</c:v>
                </c:pt>
                <c:pt idx="25">
                  <c:v>253</c:v>
                </c:pt>
                <c:pt idx="26">
                  <c:v>405</c:v>
                </c:pt>
                <c:pt idx="27">
                  <c:v>554</c:v>
                </c:pt>
                <c:pt idx="28">
                  <c:v>436</c:v>
                </c:pt>
                <c:pt idx="29">
                  <c:v>525</c:v>
                </c:pt>
                <c:pt idx="30">
                  <c:v>564</c:v>
                </c:pt>
                <c:pt idx="31">
                  <c:v>365</c:v>
                </c:pt>
                <c:pt idx="32">
                  <c:v>545</c:v>
                </c:pt>
                <c:pt idx="33">
                  <c:v>517</c:v>
                </c:pt>
                <c:pt idx="34">
                  <c:v>441</c:v>
                </c:pt>
                <c:pt idx="35">
                  <c:v>553</c:v>
                </c:pt>
                <c:pt idx="36">
                  <c:v>432</c:v>
                </c:pt>
                <c:pt idx="37">
                  <c:v>292</c:v>
                </c:pt>
                <c:pt idx="38">
                  <c:v>482</c:v>
                </c:pt>
                <c:pt idx="39">
                  <c:v>565</c:v>
                </c:pt>
                <c:pt idx="40">
                  <c:v>547</c:v>
                </c:pt>
                <c:pt idx="41">
                  <c:v>435</c:v>
                </c:pt>
                <c:pt idx="42">
                  <c:v>515</c:v>
                </c:pt>
                <c:pt idx="43">
                  <c:v>373</c:v>
                </c:pt>
                <c:pt idx="44">
                  <c:v>452</c:v>
                </c:pt>
                <c:pt idx="45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04-49E5-8ACA-D337A2D99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0925023"/>
        <c:axId val="950925439"/>
      </c:barChart>
      <c:lineChart>
        <c:grouping val="standard"/>
        <c:varyColors val="0"/>
        <c:ser>
          <c:idx val="0"/>
          <c:order val="0"/>
          <c:tx>
            <c:strRef>
              <c:f>'Fluxo de tickets'!$D$7</c:f>
              <c:strCache>
                <c:ptCount val="1"/>
                <c:pt idx="0">
                  <c:v>Saldo de tickets criados até 2020 
(C = A - 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2"/>
              <c:layout>
                <c:manualLayout>
                  <c:x val="-4.5013160375476355E-2"/>
                  <c:y val="-3.72569497412548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09-4A1A-97B6-140F137EE20E}"/>
                </c:ext>
              </c:extLst>
            </c:dLbl>
            <c:dLbl>
              <c:idx val="24"/>
              <c:layout>
                <c:manualLayout>
                  <c:x val="0"/>
                  <c:y val="-9.68680693272627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C8-4A9A-A9E5-A818F18D3C96}"/>
                </c:ext>
              </c:extLst>
            </c:dLbl>
            <c:dLbl>
              <c:idx val="35"/>
              <c:layout>
                <c:manualLayout>
                  <c:x val="2.1780561472004661E-2"/>
                  <c:y val="1.30399324094392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09-4A1A-97B6-140F137EE20E}"/>
                </c:ext>
              </c:extLst>
            </c:dLbl>
            <c:dLbl>
              <c:idx val="4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7B-4D38-95A0-43AEE8B9EB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'Fluxo de tickets'!$B$8:$B$53</c:f>
              <c:numCache>
                <c:formatCode>mmm/\y\y\y\y</c:formatCode>
                <c:ptCount val="46"/>
                <c:pt idx="0">
                  <c:v>44166</c:v>
                </c:pt>
                <c:pt idx="1">
                  <c:v>44197</c:v>
                </c:pt>
                <c:pt idx="2">
                  <c:v>44228</c:v>
                </c:pt>
                <c:pt idx="3">
                  <c:v>44256</c:v>
                </c:pt>
                <c:pt idx="4">
                  <c:v>44287</c:v>
                </c:pt>
                <c:pt idx="5">
                  <c:v>44317</c:v>
                </c:pt>
                <c:pt idx="6">
                  <c:v>44348</c:v>
                </c:pt>
                <c:pt idx="7">
                  <c:v>44378</c:v>
                </c:pt>
                <c:pt idx="8">
                  <c:v>44409</c:v>
                </c:pt>
                <c:pt idx="9">
                  <c:v>44440</c:v>
                </c:pt>
                <c:pt idx="10">
                  <c:v>44470</c:v>
                </c:pt>
                <c:pt idx="11">
                  <c:v>44501</c:v>
                </c:pt>
                <c:pt idx="12">
                  <c:v>44531</c:v>
                </c:pt>
                <c:pt idx="13">
                  <c:v>44562</c:v>
                </c:pt>
                <c:pt idx="14">
                  <c:v>44593</c:v>
                </c:pt>
                <c:pt idx="15">
                  <c:v>44621</c:v>
                </c:pt>
                <c:pt idx="16">
                  <c:v>44652</c:v>
                </c:pt>
                <c:pt idx="17">
                  <c:v>44682</c:v>
                </c:pt>
                <c:pt idx="18">
                  <c:v>44713</c:v>
                </c:pt>
                <c:pt idx="19">
                  <c:v>44743</c:v>
                </c:pt>
                <c:pt idx="20">
                  <c:v>44774</c:v>
                </c:pt>
                <c:pt idx="21">
                  <c:v>44805</c:v>
                </c:pt>
                <c:pt idx="22">
                  <c:v>44835</c:v>
                </c:pt>
                <c:pt idx="23">
                  <c:v>44866</c:v>
                </c:pt>
                <c:pt idx="24">
                  <c:v>44896</c:v>
                </c:pt>
                <c:pt idx="25">
                  <c:v>44927</c:v>
                </c:pt>
                <c:pt idx="26">
                  <c:v>44958</c:v>
                </c:pt>
                <c:pt idx="27">
                  <c:v>44986</c:v>
                </c:pt>
                <c:pt idx="28">
                  <c:v>45017</c:v>
                </c:pt>
                <c:pt idx="29">
                  <c:v>45047</c:v>
                </c:pt>
                <c:pt idx="30">
                  <c:v>45078</c:v>
                </c:pt>
                <c:pt idx="31">
                  <c:v>45108</c:v>
                </c:pt>
                <c:pt idx="32">
                  <c:v>45139</c:v>
                </c:pt>
                <c:pt idx="33">
                  <c:v>45170</c:v>
                </c:pt>
                <c:pt idx="34">
                  <c:v>45200</c:v>
                </c:pt>
                <c:pt idx="35">
                  <c:v>45231</c:v>
                </c:pt>
                <c:pt idx="36">
                  <c:v>45261</c:v>
                </c:pt>
                <c:pt idx="37">
                  <c:v>45292</c:v>
                </c:pt>
                <c:pt idx="38">
                  <c:v>45323</c:v>
                </c:pt>
                <c:pt idx="39">
                  <c:v>45352</c:v>
                </c:pt>
                <c:pt idx="40">
                  <c:v>45383</c:v>
                </c:pt>
                <c:pt idx="41">
                  <c:v>45413</c:v>
                </c:pt>
                <c:pt idx="42">
                  <c:v>45444</c:v>
                </c:pt>
                <c:pt idx="43">
                  <c:v>45474</c:v>
                </c:pt>
                <c:pt idx="44">
                  <c:v>45505</c:v>
                </c:pt>
                <c:pt idx="45">
                  <c:v>45536</c:v>
                </c:pt>
              </c:numCache>
            </c:numRef>
          </c:cat>
          <c:val>
            <c:numRef>
              <c:f>'Fluxo de tickets'!$D$8:$D$53</c:f>
              <c:numCache>
                <c:formatCode>#,##0</c:formatCode>
                <c:ptCount val="46"/>
                <c:pt idx="0">
                  <c:v>1215</c:v>
                </c:pt>
                <c:pt idx="1">
                  <c:v>1142</c:v>
                </c:pt>
                <c:pt idx="2">
                  <c:v>1042</c:v>
                </c:pt>
                <c:pt idx="3">
                  <c:v>975</c:v>
                </c:pt>
                <c:pt idx="4">
                  <c:v>955</c:v>
                </c:pt>
                <c:pt idx="5">
                  <c:v>938</c:v>
                </c:pt>
                <c:pt idx="6">
                  <c:v>920</c:v>
                </c:pt>
                <c:pt idx="7">
                  <c:v>907</c:v>
                </c:pt>
                <c:pt idx="8">
                  <c:v>901</c:v>
                </c:pt>
                <c:pt idx="9">
                  <c:v>892</c:v>
                </c:pt>
                <c:pt idx="10">
                  <c:v>875</c:v>
                </c:pt>
                <c:pt idx="11">
                  <c:v>860</c:v>
                </c:pt>
                <c:pt idx="12">
                  <c:v>853</c:v>
                </c:pt>
                <c:pt idx="13">
                  <c:v>842</c:v>
                </c:pt>
                <c:pt idx="14">
                  <c:v>819</c:v>
                </c:pt>
                <c:pt idx="15">
                  <c:v>777</c:v>
                </c:pt>
                <c:pt idx="16">
                  <c:v>757</c:v>
                </c:pt>
                <c:pt idx="17">
                  <c:v>750</c:v>
                </c:pt>
                <c:pt idx="18">
                  <c:v>734</c:v>
                </c:pt>
                <c:pt idx="19">
                  <c:v>715</c:v>
                </c:pt>
                <c:pt idx="20">
                  <c:v>706</c:v>
                </c:pt>
                <c:pt idx="21">
                  <c:v>687</c:v>
                </c:pt>
                <c:pt idx="22">
                  <c:v>675</c:v>
                </c:pt>
                <c:pt idx="23">
                  <c:v>662</c:v>
                </c:pt>
                <c:pt idx="24">
                  <c:v>346</c:v>
                </c:pt>
                <c:pt idx="25">
                  <c:v>334</c:v>
                </c:pt>
                <c:pt idx="26">
                  <c:v>309</c:v>
                </c:pt>
                <c:pt idx="27">
                  <c:v>297</c:v>
                </c:pt>
                <c:pt idx="28">
                  <c:v>286</c:v>
                </c:pt>
                <c:pt idx="29">
                  <c:v>262</c:v>
                </c:pt>
                <c:pt idx="30">
                  <c:v>237</c:v>
                </c:pt>
                <c:pt idx="31">
                  <c:v>229</c:v>
                </c:pt>
                <c:pt idx="32">
                  <c:v>223</c:v>
                </c:pt>
                <c:pt idx="33">
                  <c:v>217</c:v>
                </c:pt>
                <c:pt idx="34">
                  <c:v>206</c:v>
                </c:pt>
                <c:pt idx="35">
                  <c:v>201</c:v>
                </c:pt>
                <c:pt idx="36">
                  <c:v>153</c:v>
                </c:pt>
                <c:pt idx="37">
                  <c:v>65</c:v>
                </c:pt>
                <c:pt idx="38">
                  <c:v>57</c:v>
                </c:pt>
                <c:pt idx="39">
                  <c:v>56</c:v>
                </c:pt>
                <c:pt idx="40">
                  <c:v>56</c:v>
                </c:pt>
                <c:pt idx="41">
                  <c:v>53</c:v>
                </c:pt>
                <c:pt idx="42">
                  <c:v>53</c:v>
                </c:pt>
                <c:pt idx="43">
                  <c:v>53</c:v>
                </c:pt>
                <c:pt idx="44">
                  <c:v>53</c:v>
                </c:pt>
                <c:pt idx="45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04-49E5-8ACA-D337A2D99A76}"/>
            </c:ext>
          </c:extLst>
        </c:ser>
        <c:ser>
          <c:idx val="1"/>
          <c:order val="1"/>
          <c:tx>
            <c:strRef>
              <c:f>'Fluxo de tickets'!$M$7</c:f>
              <c:strCache>
                <c:ptCount val="1"/>
                <c:pt idx="0">
                  <c:v>Saldo consolidado (total)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9330925797292776E-2"/>
                  <c:y val="-3.926192567925260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297329112400802E-2"/>
                      <c:h val="2.485577383623318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A04-49E5-8ACA-D337A2D99A76}"/>
                </c:ext>
              </c:extLst>
            </c:dLbl>
            <c:dLbl>
              <c:idx val="12"/>
              <c:layout>
                <c:manualLayout>
                  <c:x val="-4.9369272669877229E-2"/>
                  <c:y val="-3.5394102254192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409-4A1A-97B6-140F137EE20E}"/>
                </c:ext>
              </c:extLst>
            </c:dLbl>
            <c:dLbl>
              <c:idx val="24"/>
              <c:layout>
                <c:manualLayout>
                  <c:x val="7.2601871573348868E-3"/>
                  <c:y val="-1.67656273835646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C8-4A9A-A9E5-A818F18D3C96}"/>
                </c:ext>
              </c:extLst>
            </c:dLbl>
            <c:dLbl>
              <c:idx val="35"/>
              <c:layout>
                <c:manualLayout>
                  <c:x val="-2.8971387219639894E-2"/>
                  <c:y val="-4.0507636001184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09-4A1A-97B6-140F137EE20E}"/>
                </c:ext>
              </c:extLst>
            </c:dLbl>
            <c:dLbl>
              <c:idx val="45"/>
              <c:layout>
                <c:manualLayout>
                  <c:x val="0"/>
                  <c:y val="-2.32039202960095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7B-4D38-95A0-43AEE8B9EB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'Fluxo de tickets'!$B$8:$B$53</c:f>
              <c:numCache>
                <c:formatCode>mmm/\y\y\y\y</c:formatCode>
                <c:ptCount val="46"/>
                <c:pt idx="0">
                  <c:v>44166</c:v>
                </c:pt>
                <c:pt idx="1">
                  <c:v>44197</c:v>
                </c:pt>
                <c:pt idx="2">
                  <c:v>44228</c:v>
                </c:pt>
                <c:pt idx="3">
                  <c:v>44256</c:v>
                </c:pt>
                <c:pt idx="4">
                  <c:v>44287</c:v>
                </c:pt>
                <c:pt idx="5">
                  <c:v>44317</c:v>
                </c:pt>
                <c:pt idx="6">
                  <c:v>44348</c:v>
                </c:pt>
                <c:pt idx="7">
                  <c:v>44378</c:v>
                </c:pt>
                <c:pt idx="8">
                  <c:v>44409</c:v>
                </c:pt>
                <c:pt idx="9">
                  <c:v>44440</c:v>
                </c:pt>
                <c:pt idx="10">
                  <c:v>44470</c:v>
                </c:pt>
                <c:pt idx="11">
                  <c:v>44501</c:v>
                </c:pt>
                <c:pt idx="12">
                  <c:v>44531</c:v>
                </c:pt>
                <c:pt idx="13">
                  <c:v>44562</c:v>
                </c:pt>
                <c:pt idx="14">
                  <c:v>44593</c:v>
                </c:pt>
                <c:pt idx="15">
                  <c:v>44621</c:v>
                </c:pt>
                <c:pt idx="16">
                  <c:v>44652</c:v>
                </c:pt>
                <c:pt idx="17">
                  <c:v>44682</c:v>
                </c:pt>
                <c:pt idx="18">
                  <c:v>44713</c:v>
                </c:pt>
                <c:pt idx="19">
                  <c:v>44743</c:v>
                </c:pt>
                <c:pt idx="20">
                  <c:v>44774</c:v>
                </c:pt>
                <c:pt idx="21">
                  <c:v>44805</c:v>
                </c:pt>
                <c:pt idx="22">
                  <c:v>44835</c:v>
                </c:pt>
                <c:pt idx="23">
                  <c:v>44866</c:v>
                </c:pt>
                <c:pt idx="24">
                  <c:v>44896</c:v>
                </c:pt>
                <c:pt idx="25">
                  <c:v>44927</c:v>
                </c:pt>
                <c:pt idx="26">
                  <c:v>44958</c:v>
                </c:pt>
                <c:pt idx="27">
                  <c:v>44986</c:v>
                </c:pt>
                <c:pt idx="28">
                  <c:v>45017</c:v>
                </c:pt>
                <c:pt idx="29">
                  <c:v>45047</c:v>
                </c:pt>
                <c:pt idx="30">
                  <c:v>45078</c:v>
                </c:pt>
                <c:pt idx="31">
                  <c:v>45108</c:v>
                </c:pt>
                <c:pt idx="32">
                  <c:v>45139</c:v>
                </c:pt>
                <c:pt idx="33">
                  <c:v>45170</c:v>
                </c:pt>
                <c:pt idx="34">
                  <c:v>45200</c:v>
                </c:pt>
                <c:pt idx="35">
                  <c:v>45231</c:v>
                </c:pt>
                <c:pt idx="36">
                  <c:v>45261</c:v>
                </c:pt>
                <c:pt idx="37">
                  <c:v>45292</c:v>
                </c:pt>
                <c:pt idx="38">
                  <c:v>45323</c:v>
                </c:pt>
                <c:pt idx="39">
                  <c:v>45352</c:v>
                </c:pt>
                <c:pt idx="40">
                  <c:v>45383</c:v>
                </c:pt>
                <c:pt idx="41">
                  <c:v>45413</c:v>
                </c:pt>
                <c:pt idx="42">
                  <c:v>45444</c:v>
                </c:pt>
                <c:pt idx="43">
                  <c:v>45474</c:v>
                </c:pt>
                <c:pt idx="44">
                  <c:v>45505</c:v>
                </c:pt>
                <c:pt idx="45">
                  <c:v>45536</c:v>
                </c:pt>
              </c:numCache>
            </c:numRef>
          </c:cat>
          <c:val>
            <c:numRef>
              <c:f>'Fluxo de tickets'!$M$8:$M$53</c:f>
              <c:numCache>
                <c:formatCode>#,##0</c:formatCode>
                <c:ptCount val="46"/>
                <c:pt idx="0">
                  <c:v>1215</c:v>
                </c:pt>
                <c:pt idx="1">
                  <c:v>1190</c:v>
                </c:pt>
                <c:pt idx="2">
                  <c:v>1213</c:v>
                </c:pt>
                <c:pt idx="3">
                  <c:v>1273</c:v>
                </c:pt>
                <c:pt idx="4">
                  <c:v>1300</c:v>
                </c:pt>
                <c:pt idx="5">
                  <c:v>1285</c:v>
                </c:pt>
                <c:pt idx="6">
                  <c:v>1306</c:v>
                </c:pt>
                <c:pt idx="7">
                  <c:v>1300</c:v>
                </c:pt>
                <c:pt idx="8">
                  <c:v>1386</c:v>
                </c:pt>
                <c:pt idx="9">
                  <c:v>1396</c:v>
                </c:pt>
                <c:pt idx="10">
                  <c:v>1380</c:v>
                </c:pt>
                <c:pt idx="11">
                  <c:v>1467</c:v>
                </c:pt>
                <c:pt idx="12">
                  <c:v>1488</c:v>
                </c:pt>
                <c:pt idx="13">
                  <c:v>1509</c:v>
                </c:pt>
                <c:pt idx="14">
                  <c:v>1486</c:v>
                </c:pt>
                <c:pt idx="15">
                  <c:v>1481</c:v>
                </c:pt>
                <c:pt idx="16">
                  <c:v>1459</c:v>
                </c:pt>
                <c:pt idx="17">
                  <c:v>1493</c:v>
                </c:pt>
                <c:pt idx="18">
                  <c:v>1502</c:v>
                </c:pt>
                <c:pt idx="19">
                  <c:v>1447</c:v>
                </c:pt>
                <c:pt idx="20">
                  <c:v>1527</c:v>
                </c:pt>
                <c:pt idx="21">
                  <c:v>1526</c:v>
                </c:pt>
                <c:pt idx="22">
                  <c:v>1466</c:v>
                </c:pt>
                <c:pt idx="23">
                  <c:v>1629</c:v>
                </c:pt>
                <c:pt idx="24">
                  <c:v>1362</c:v>
                </c:pt>
                <c:pt idx="25">
                  <c:v>1283</c:v>
                </c:pt>
                <c:pt idx="26">
                  <c:v>1299</c:v>
                </c:pt>
                <c:pt idx="27">
                  <c:v>1299</c:v>
                </c:pt>
                <c:pt idx="28">
                  <c:v>1349</c:v>
                </c:pt>
                <c:pt idx="29">
                  <c:v>1420</c:v>
                </c:pt>
                <c:pt idx="30">
                  <c:v>1566</c:v>
                </c:pt>
                <c:pt idx="31">
                  <c:v>1548</c:v>
                </c:pt>
                <c:pt idx="32">
                  <c:v>1640</c:v>
                </c:pt>
                <c:pt idx="33">
                  <c:v>1619</c:v>
                </c:pt>
                <c:pt idx="34">
                  <c:v>1641</c:v>
                </c:pt>
                <c:pt idx="35">
                  <c:v>1728</c:v>
                </c:pt>
                <c:pt idx="36">
                  <c:v>1672</c:v>
                </c:pt>
                <c:pt idx="37">
                  <c:v>1338</c:v>
                </c:pt>
                <c:pt idx="38">
                  <c:v>1302</c:v>
                </c:pt>
                <c:pt idx="39">
                  <c:v>1351</c:v>
                </c:pt>
                <c:pt idx="40">
                  <c:v>1443</c:v>
                </c:pt>
                <c:pt idx="41">
                  <c:v>1479</c:v>
                </c:pt>
                <c:pt idx="42">
                  <c:v>1447</c:v>
                </c:pt>
                <c:pt idx="43">
                  <c:v>1455</c:v>
                </c:pt>
                <c:pt idx="44">
                  <c:v>1491</c:v>
                </c:pt>
                <c:pt idx="45">
                  <c:v>1441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04-49E5-8ACA-D337A2D99A76}"/>
            </c:ext>
          </c:extLst>
        </c:ser>
        <c:ser>
          <c:idx val="2"/>
          <c:order val="2"/>
          <c:tx>
            <c:strRef>
              <c:f>'Fluxo de tickets'!$E$7</c:f>
              <c:strCache>
                <c:ptCount val="1"/>
                <c:pt idx="0">
                  <c:v>Qtd. tickets criados no período 
(D)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'Fluxo de tickets'!$B$8:$B$53</c:f>
              <c:numCache>
                <c:formatCode>mmm/\y\y\y\y</c:formatCode>
                <c:ptCount val="46"/>
                <c:pt idx="0">
                  <c:v>44166</c:v>
                </c:pt>
                <c:pt idx="1">
                  <c:v>44197</c:v>
                </c:pt>
                <c:pt idx="2">
                  <c:v>44228</c:v>
                </c:pt>
                <c:pt idx="3">
                  <c:v>44256</c:v>
                </c:pt>
                <c:pt idx="4">
                  <c:v>44287</c:v>
                </c:pt>
                <c:pt idx="5">
                  <c:v>44317</c:v>
                </c:pt>
                <c:pt idx="6">
                  <c:v>44348</c:v>
                </c:pt>
                <c:pt idx="7">
                  <c:v>44378</c:v>
                </c:pt>
                <c:pt idx="8">
                  <c:v>44409</c:v>
                </c:pt>
                <c:pt idx="9">
                  <c:v>44440</c:v>
                </c:pt>
                <c:pt idx="10">
                  <c:v>44470</c:v>
                </c:pt>
                <c:pt idx="11">
                  <c:v>44501</c:v>
                </c:pt>
                <c:pt idx="12">
                  <c:v>44531</c:v>
                </c:pt>
                <c:pt idx="13">
                  <c:v>44562</c:v>
                </c:pt>
                <c:pt idx="14">
                  <c:v>44593</c:v>
                </c:pt>
                <c:pt idx="15">
                  <c:v>44621</c:v>
                </c:pt>
                <c:pt idx="16">
                  <c:v>44652</c:v>
                </c:pt>
                <c:pt idx="17">
                  <c:v>44682</c:v>
                </c:pt>
                <c:pt idx="18">
                  <c:v>44713</c:v>
                </c:pt>
                <c:pt idx="19">
                  <c:v>44743</c:v>
                </c:pt>
                <c:pt idx="20">
                  <c:v>44774</c:v>
                </c:pt>
                <c:pt idx="21">
                  <c:v>44805</c:v>
                </c:pt>
                <c:pt idx="22">
                  <c:v>44835</c:v>
                </c:pt>
                <c:pt idx="23">
                  <c:v>44866</c:v>
                </c:pt>
                <c:pt idx="24">
                  <c:v>44896</c:v>
                </c:pt>
                <c:pt idx="25">
                  <c:v>44927</c:v>
                </c:pt>
                <c:pt idx="26">
                  <c:v>44958</c:v>
                </c:pt>
                <c:pt idx="27">
                  <c:v>44986</c:v>
                </c:pt>
                <c:pt idx="28">
                  <c:v>45017</c:v>
                </c:pt>
                <c:pt idx="29">
                  <c:v>45047</c:v>
                </c:pt>
                <c:pt idx="30">
                  <c:v>45078</c:v>
                </c:pt>
                <c:pt idx="31">
                  <c:v>45108</c:v>
                </c:pt>
                <c:pt idx="32">
                  <c:v>45139</c:v>
                </c:pt>
                <c:pt idx="33">
                  <c:v>45170</c:v>
                </c:pt>
                <c:pt idx="34">
                  <c:v>45200</c:v>
                </c:pt>
                <c:pt idx="35">
                  <c:v>45231</c:v>
                </c:pt>
                <c:pt idx="36">
                  <c:v>45261</c:v>
                </c:pt>
                <c:pt idx="37">
                  <c:v>45292</c:v>
                </c:pt>
                <c:pt idx="38">
                  <c:v>45323</c:v>
                </c:pt>
                <c:pt idx="39">
                  <c:v>45352</c:v>
                </c:pt>
                <c:pt idx="40">
                  <c:v>45383</c:v>
                </c:pt>
                <c:pt idx="41">
                  <c:v>45413</c:v>
                </c:pt>
                <c:pt idx="42">
                  <c:v>45444</c:v>
                </c:pt>
                <c:pt idx="43">
                  <c:v>45474</c:v>
                </c:pt>
                <c:pt idx="44">
                  <c:v>45505</c:v>
                </c:pt>
                <c:pt idx="45">
                  <c:v>45536</c:v>
                </c:pt>
              </c:numCache>
            </c:numRef>
          </c:cat>
          <c:val>
            <c:numRef>
              <c:f>'Fluxo de tickets'!$E$8:$E$53</c:f>
              <c:numCache>
                <c:formatCode>General</c:formatCode>
                <c:ptCount val="46"/>
                <c:pt idx="0">
                  <c:v>0</c:v>
                </c:pt>
                <c:pt idx="1">
                  <c:v>194</c:v>
                </c:pt>
                <c:pt idx="2">
                  <c:v>335</c:v>
                </c:pt>
                <c:pt idx="3">
                  <c:v>474</c:v>
                </c:pt>
                <c:pt idx="4">
                  <c:v>346</c:v>
                </c:pt>
                <c:pt idx="5">
                  <c:v>402</c:v>
                </c:pt>
                <c:pt idx="6">
                  <c:v>372</c:v>
                </c:pt>
                <c:pt idx="7">
                  <c:v>273</c:v>
                </c:pt>
                <c:pt idx="8">
                  <c:v>461</c:v>
                </c:pt>
                <c:pt idx="9">
                  <c:v>361</c:v>
                </c:pt>
                <c:pt idx="10">
                  <c:v>318</c:v>
                </c:pt>
                <c:pt idx="11">
                  <c:v>448</c:v>
                </c:pt>
                <c:pt idx="12">
                  <c:v>392</c:v>
                </c:pt>
                <c:pt idx="13">
                  <c:v>241</c:v>
                </c:pt>
                <c:pt idx="14">
                  <c:v>498</c:v>
                </c:pt>
                <c:pt idx="15">
                  <c:v>549</c:v>
                </c:pt>
                <c:pt idx="16">
                  <c:v>441</c:v>
                </c:pt>
                <c:pt idx="17">
                  <c:v>534</c:v>
                </c:pt>
                <c:pt idx="18">
                  <c:v>516</c:v>
                </c:pt>
                <c:pt idx="19">
                  <c:v>290</c:v>
                </c:pt>
                <c:pt idx="20">
                  <c:v>559</c:v>
                </c:pt>
                <c:pt idx="21">
                  <c:v>496</c:v>
                </c:pt>
                <c:pt idx="22">
                  <c:v>407</c:v>
                </c:pt>
                <c:pt idx="23">
                  <c:v>694</c:v>
                </c:pt>
                <c:pt idx="24">
                  <c:v>532</c:v>
                </c:pt>
                <c:pt idx="25">
                  <c:v>328</c:v>
                </c:pt>
                <c:pt idx="26">
                  <c:v>581</c:v>
                </c:pt>
                <c:pt idx="27">
                  <c:v>776</c:v>
                </c:pt>
                <c:pt idx="28">
                  <c:v>680</c:v>
                </c:pt>
                <c:pt idx="29">
                  <c:v>817</c:v>
                </c:pt>
                <c:pt idx="30">
                  <c:v>922</c:v>
                </c:pt>
                <c:pt idx="31">
                  <c:v>552</c:v>
                </c:pt>
                <c:pt idx="32">
                  <c:v>831</c:v>
                </c:pt>
                <c:pt idx="33">
                  <c:v>718</c:v>
                </c:pt>
                <c:pt idx="34">
                  <c:v>689</c:v>
                </c:pt>
                <c:pt idx="35">
                  <c:v>926</c:v>
                </c:pt>
                <c:pt idx="36">
                  <c:v>701</c:v>
                </c:pt>
                <c:pt idx="37">
                  <c:v>417</c:v>
                </c:pt>
                <c:pt idx="38">
                  <c:v>670</c:v>
                </c:pt>
                <c:pt idx="39">
                  <c:v>834</c:v>
                </c:pt>
                <c:pt idx="40">
                  <c:v>837</c:v>
                </c:pt>
                <c:pt idx="41">
                  <c:v>663</c:v>
                </c:pt>
                <c:pt idx="42">
                  <c:v>693</c:v>
                </c:pt>
                <c:pt idx="43">
                  <c:v>592</c:v>
                </c:pt>
                <c:pt idx="44">
                  <c:v>698</c:v>
                </c:pt>
                <c:pt idx="45">
                  <c:v>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A04-49E5-8ACA-D337A2D99A76}"/>
            </c:ext>
          </c:extLst>
        </c:ser>
        <c:ser>
          <c:idx val="4"/>
          <c:order val="3"/>
          <c:tx>
            <c:strRef>
              <c:f>'Fluxo de tickets'!$N$7</c:f>
              <c:strCache>
                <c:ptCount val="1"/>
                <c:pt idx="0">
                  <c:v>Saldo de tickets criados a partir de 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12"/>
              <c:layout>
                <c:manualLayout>
                  <c:x val="-5.0821310101344212E-2"/>
                  <c:y val="-2.04913223576902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409-4A1A-97B6-140F137EE20E}"/>
                </c:ext>
              </c:extLst>
            </c:dLbl>
            <c:dLbl>
              <c:idx val="24"/>
              <c:layout>
                <c:manualLayout>
                  <c:x val="4.3561122944009321E-3"/>
                  <c:y val="-2.60798648188784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C8-4A9A-A9E5-A818F18D3C96}"/>
                </c:ext>
              </c:extLst>
            </c:dLbl>
            <c:dLbl>
              <c:idx val="35"/>
              <c:layout>
                <c:manualLayout>
                  <c:x val="-2.4961015568818808E-2"/>
                  <c:y val="5.66571991111394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09-4A1A-97B6-140F137EE20E}"/>
                </c:ext>
              </c:extLst>
            </c:dLbl>
            <c:dLbl>
              <c:idx val="45"/>
              <c:layout>
                <c:manualLayout>
                  <c:x val="-5.7620282339383459E-3"/>
                  <c:y val="3.7483255862784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7B-4D38-95A0-43AEE8B9EB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'Fluxo de tickets'!$B$8:$B$53</c:f>
              <c:numCache>
                <c:formatCode>mmm/\y\y\y\y</c:formatCode>
                <c:ptCount val="46"/>
                <c:pt idx="0">
                  <c:v>44166</c:v>
                </c:pt>
                <c:pt idx="1">
                  <c:v>44197</c:v>
                </c:pt>
                <c:pt idx="2">
                  <c:v>44228</c:v>
                </c:pt>
                <c:pt idx="3">
                  <c:v>44256</c:v>
                </c:pt>
                <c:pt idx="4">
                  <c:v>44287</c:v>
                </c:pt>
                <c:pt idx="5">
                  <c:v>44317</c:v>
                </c:pt>
                <c:pt idx="6">
                  <c:v>44348</c:v>
                </c:pt>
                <c:pt idx="7">
                  <c:v>44378</c:v>
                </c:pt>
                <c:pt idx="8">
                  <c:v>44409</c:v>
                </c:pt>
                <c:pt idx="9">
                  <c:v>44440</c:v>
                </c:pt>
                <c:pt idx="10">
                  <c:v>44470</c:v>
                </c:pt>
                <c:pt idx="11">
                  <c:v>44501</c:v>
                </c:pt>
                <c:pt idx="12">
                  <c:v>44531</c:v>
                </c:pt>
                <c:pt idx="13">
                  <c:v>44562</c:v>
                </c:pt>
                <c:pt idx="14">
                  <c:v>44593</c:v>
                </c:pt>
                <c:pt idx="15">
                  <c:v>44621</c:v>
                </c:pt>
                <c:pt idx="16">
                  <c:v>44652</c:v>
                </c:pt>
                <c:pt idx="17">
                  <c:v>44682</c:v>
                </c:pt>
                <c:pt idx="18">
                  <c:v>44713</c:v>
                </c:pt>
                <c:pt idx="19">
                  <c:v>44743</c:v>
                </c:pt>
                <c:pt idx="20">
                  <c:v>44774</c:v>
                </c:pt>
                <c:pt idx="21">
                  <c:v>44805</c:v>
                </c:pt>
                <c:pt idx="22">
                  <c:v>44835</c:v>
                </c:pt>
                <c:pt idx="23">
                  <c:v>44866</c:v>
                </c:pt>
                <c:pt idx="24">
                  <c:v>44896</c:v>
                </c:pt>
                <c:pt idx="25">
                  <c:v>44927</c:v>
                </c:pt>
                <c:pt idx="26">
                  <c:v>44958</c:v>
                </c:pt>
                <c:pt idx="27">
                  <c:v>44986</c:v>
                </c:pt>
                <c:pt idx="28">
                  <c:v>45017</c:v>
                </c:pt>
                <c:pt idx="29">
                  <c:v>45047</c:v>
                </c:pt>
                <c:pt idx="30">
                  <c:v>45078</c:v>
                </c:pt>
                <c:pt idx="31">
                  <c:v>45108</c:v>
                </c:pt>
                <c:pt idx="32">
                  <c:v>45139</c:v>
                </c:pt>
                <c:pt idx="33">
                  <c:v>45170</c:v>
                </c:pt>
                <c:pt idx="34">
                  <c:v>45200</c:v>
                </c:pt>
                <c:pt idx="35">
                  <c:v>45231</c:v>
                </c:pt>
                <c:pt idx="36">
                  <c:v>45261</c:v>
                </c:pt>
                <c:pt idx="37">
                  <c:v>45292</c:v>
                </c:pt>
                <c:pt idx="38">
                  <c:v>45323</c:v>
                </c:pt>
                <c:pt idx="39">
                  <c:v>45352</c:v>
                </c:pt>
                <c:pt idx="40">
                  <c:v>45383</c:v>
                </c:pt>
                <c:pt idx="41">
                  <c:v>45413</c:v>
                </c:pt>
                <c:pt idx="42">
                  <c:v>45444</c:v>
                </c:pt>
                <c:pt idx="43">
                  <c:v>45474</c:v>
                </c:pt>
                <c:pt idx="44">
                  <c:v>45505</c:v>
                </c:pt>
                <c:pt idx="45">
                  <c:v>45536</c:v>
                </c:pt>
              </c:numCache>
            </c:numRef>
          </c:cat>
          <c:val>
            <c:numRef>
              <c:f>'Fluxo de tickets'!$N$8:$N$53</c:f>
              <c:numCache>
                <c:formatCode>#,##0</c:formatCode>
                <c:ptCount val="46"/>
                <c:pt idx="0" formatCode="General">
                  <c:v>0</c:v>
                </c:pt>
                <c:pt idx="1">
                  <c:v>48</c:v>
                </c:pt>
                <c:pt idx="2">
                  <c:v>171</c:v>
                </c:pt>
                <c:pt idx="3">
                  <c:v>298</c:v>
                </c:pt>
                <c:pt idx="4">
                  <c:v>345</c:v>
                </c:pt>
                <c:pt idx="5">
                  <c:v>347</c:v>
                </c:pt>
                <c:pt idx="6">
                  <c:v>386</c:v>
                </c:pt>
                <c:pt idx="7">
                  <c:v>393</c:v>
                </c:pt>
                <c:pt idx="8">
                  <c:v>485</c:v>
                </c:pt>
                <c:pt idx="9">
                  <c:v>504</c:v>
                </c:pt>
                <c:pt idx="10">
                  <c:v>505</c:v>
                </c:pt>
                <c:pt idx="11">
                  <c:v>607</c:v>
                </c:pt>
                <c:pt idx="12">
                  <c:v>635</c:v>
                </c:pt>
                <c:pt idx="13">
                  <c:v>667</c:v>
                </c:pt>
                <c:pt idx="14">
                  <c:v>667</c:v>
                </c:pt>
                <c:pt idx="15">
                  <c:v>704</c:v>
                </c:pt>
                <c:pt idx="16">
                  <c:v>702</c:v>
                </c:pt>
                <c:pt idx="17">
                  <c:v>743</c:v>
                </c:pt>
                <c:pt idx="18">
                  <c:v>768</c:v>
                </c:pt>
                <c:pt idx="19">
                  <c:v>732</c:v>
                </c:pt>
                <c:pt idx="20">
                  <c:v>821</c:v>
                </c:pt>
                <c:pt idx="21">
                  <c:v>839</c:v>
                </c:pt>
                <c:pt idx="22">
                  <c:v>791</c:v>
                </c:pt>
                <c:pt idx="23">
                  <c:v>967</c:v>
                </c:pt>
                <c:pt idx="24">
                  <c:v>1016</c:v>
                </c:pt>
                <c:pt idx="25">
                  <c:v>949</c:v>
                </c:pt>
                <c:pt idx="26">
                  <c:v>990</c:v>
                </c:pt>
                <c:pt idx="27">
                  <c:v>1002</c:v>
                </c:pt>
                <c:pt idx="28">
                  <c:v>1063</c:v>
                </c:pt>
                <c:pt idx="29">
                  <c:v>1158</c:v>
                </c:pt>
                <c:pt idx="30">
                  <c:v>1329</c:v>
                </c:pt>
                <c:pt idx="31">
                  <c:v>1319</c:v>
                </c:pt>
                <c:pt idx="32">
                  <c:v>1417</c:v>
                </c:pt>
                <c:pt idx="33">
                  <c:v>1402</c:v>
                </c:pt>
                <c:pt idx="34">
                  <c:v>1435</c:v>
                </c:pt>
                <c:pt idx="35">
                  <c:v>1527</c:v>
                </c:pt>
                <c:pt idx="36">
                  <c:v>1519</c:v>
                </c:pt>
                <c:pt idx="37">
                  <c:v>1273</c:v>
                </c:pt>
                <c:pt idx="38">
                  <c:v>1245</c:v>
                </c:pt>
                <c:pt idx="39">
                  <c:v>1295</c:v>
                </c:pt>
                <c:pt idx="40">
                  <c:v>1387</c:v>
                </c:pt>
                <c:pt idx="41">
                  <c:v>1426</c:v>
                </c:pt>
                <c:pt idx="42">
                  <c:v>1394</c:v>
                </c:pt>
                <c:pt idx="43">
                  <c:v>1402</c:v>
                </c:pt>
                <c:pt idx="44">
                  <c:v>1438</c:v>
                </c:pt>
                <c:pt idx="45">
                  <c:v>1388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A04-49E5-8ACA-D337A2D99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925023"/>
        <c:axId val="950925439"/>
      </c:lineChart>
      <c:dateAx>
        <c:axId val="950925023"/>
        <c:scaling>
          <c:orientation val="minMax"/>
        </c:scaling>
        <c:delete val="0"/>
        <c:axPos val="b"/>
        <c:numFmt formatCode="mm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0925439"/>
        <c:crosses val="autoZero"/>
        <c:auto val="1"/>
        <c:lblOffset val="100"/>
        <c:baseTimeUnit val="months"/>
      </c:dateAx>
      <c:valAx>
        <c:axId val="95092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092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090368711048943E-2"/>
          <c:y val="0.88831669273547453"/>
          <c:w val="0.97491661023182863"/>
          <c:h val="0.111683289371676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effectLst/>
              </a:rPr>
              <a:t>% de tickets criados no mês que não foram concluídos no próprio mês</a:t>
            </a:r>
            <a:r>
              <a:rPr lang="pt-BR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'Fluxo de tickets'!$O$7</c:f>
              <c:strCache>
                <c:ptCount val="1"/>
                <c:pt idx="0">
                  <c:v>% de tickets criados no mês que não foram concluídos no próprio mês
(H / 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3"/>
            <c:dispRSqr val="0"/>
            <c:dispEq val="0"/>
          </c:trendline>
          <c:cat>
            <c:numRef>
              <c:f>'Fluxo de tickets'!$B$8:$B$53</c:f>
              <c:numCache>
                <c:formatCode>mmm/\y\y\y\y</c:formatCode>
                <c:ptCount val="46"/>
                <c:pt idx="0">
                  <c:v>44166</c:v>
                </c:pt>
                <c:pt idx="1">
                  <c:v>44197</c:v>
                </c:pt>
                <c:pt idx="2">
                  <c:v>44228</c:v>
                </c:pt>
                <c:pt idx="3">
                  <c:v>44256</c:v>
                </c:pt>
                <c:pt idx="4">
                  <c:v>44287</c:v>
                </c:pt>
                <c:pt idx="5">
                  <c:v>44317</c:v>
                </c:pt>
                <c:pt idx="6">
                  <c:v>44348</c:v>
                </c:pt>
                <c:pt idx="7">
                  <c:v>44378</c:v>
                </c:pt>
                <c:pt idx="8">
                  <c:v>44409</c:v>
                </c:pt>
                <c:pt idx="9">
                  <c:v>44440</c:v>
                </c:pt>
                <c:pt idx="10">
                  <c:v>44470</c:v>
                </c:pt>
                <c:pt idx="11">
                  <c:v>44501</c:v>
                </c:pt>
                <c:pt idx="12">
                  <c:v>44531</c:v>
                </c:pt>
                <c:pt idx="13">
                  <c:v>44562</c:v>
                </c:pt>
                <c:pt idx="14">
                  <c:v>44593</c:v>
                </c:pt>
                <c:pt idx="15">
                  <c:v>44621</c:v>
                </c:pt>
                <c:pt idx="16">
                  <c:v>44652</c:v>
                </c:pt>
                <c:pt idx="17">
                  <c:v>44682</c:v>
                </c:pt>
                <c:pt idx="18">
                  <c:v>44713</c:v>
                </c:pt>
                <c:pt idx="19">
                  <c:v>44743</c:v>
                </c:pt>
                <c:pt idx="20">
                  <c:v>44774</c:v>
                </c:pt>
                <c:pt idx="21">
                  <c:v>44805</c:v>
                </c:pt>
                <c:pt idx="22">
                  <c:v>44835</c:v>
                </c:pt>
                <c:pt idx="23">
                  <c:v>44866</c:v>
                </c:pt>
                <c:pt idx="24">
                  <c:v>44896</c:v>
                </c:pt>
                <c:pt idx="25">
                  <c:v>44927</c:v>
                </c:pt>
                <c:pt idx="26">
                  <c:v>44958</c:v>
                </c:pt>
                <c:pt idx="27">
                  <c:v>44986</c:v>
                </c:pt>
                <c:pt idx="28">
                  <c:v>45017</c:v>
                </c:pt>
                <c:pt idx="29">
                  <c:v>45047</c:v>
                </c:pt>
                <c:pt idx="30">
                  <c:v>45078</c:v>
                </c:pt>
                <c:pt idx="31">
                  <c:v>45108</c:v>
                </c:pt>
                <c:pt idx="32">
                  <c:v>45139</c:v>
                </c:pt>
                <c:pt idx="33">
                  <c:v>45170</c:v>
                </c:pt>
                <c:pt idx="34">
                  <c:v>45200</c:v>
                </c:pt>
                <c:pt idx="35">
                  <c:v>45231</c:v>
                </c:pt>
                <c:pt idx="36">
                  <c:v>45261</c:v>
                </c:pt>
                <c:pt idx="37">
                  <c:v>45292</c:v>
                </c:pt>
                <c:pt idx="38">
                  <c:v>45323</c:v>
                </c:pt>
                <c:pt idx="39">
                  <c:v>45352</c:v>
                </c:pt>
                <c:pt idx="40">
                  <c:v>45383</c:v>
                </c:pt>
                <c:pt idx="41">
                  <c:v>45413</c:v>
                </c:pt>
                <c:pt idx="42">
                  <c:v>45444</c:v>
                </c:pt>
                <c:pt idx="43">
                  <c:v>45474</c:v>
                </c:pt>
                <c:pt idx="44">
                  <c:v>45505</c:v>
                </c:pt>
                <c:pt idx="45">
                  <c:v>45536</c:v>
                </c:pt>
              </c:numCache>
            </c:numRef>
          </c:cat>
          <c:val>
            <c:numRef>
              <c:f>'Fluxo de tickets'!$O$8:$O$53</c:f>
              <c:numCache>
                <c:formatCode>0%</c:formatCode>
                <c:ptCount val="46"/>
                <c:pt idx="0">
                  <c:v>0</c:v>
                </c:pt>
                <c:pt idx="1">
                  <c:v>0.24742268041237114</c:v>
                </c:pt>
                <c:pt idx="2">
                  <c:v>0.42985074626865671</c:v>
                </c:pt>
                <c:pt idx="3">
                  <c:v>0.39240506329113922</c:v>
                </c:pt>
                <c:pt idx="4">
                  <c:v>0.37861271676300579</c:v>
                </c:pt>
                <c:pt idx="5">
                  <c:v>0.25870646766169153</c:v>
                </c:pt>
                <c:pt idx="6">
                  <c:v>0.33870967741935482</c:v>
                </c:pt>
                <c:pt idx="7">
                  <c:v>0.32600732600732601</c:v>
                </c:pt>
                <c:pt idx="8">
                  <c:v>0.38611713665943603</c:v>
                </c:pt>
                <c:pt idx="9">
                  <c:v>0.36565096952908588</c:v>
                </c:pt>
                <c:pt idx="10">
                  <c:v>0.35849056603773582</c:v>
                </c:pt>
                <c:pt idx="11">
                  <c:v>0.39285714285714285</c:v>
                </c:pt>
                <c:pt idx="12">
                  <c:v>0.32908163265306123</c:v>
                </c:pt>
                <c:pt idx="13">
                  <c:v>0.40663900414937759</c:v>
                </c:pt>
                <c:pt idx="14">
                  <c:v>0.27309236947791166</c:v>
                </c:pt>
                <c:pt idx="15">
                  <c:v>0.32969034608378872</c:v>
                </c:pt>
                <c:pt idx="16">
                  <c:v>0.30612244897959184</c:v>
                </c:pt>
                <c:pt idx="17">
                  <c:v>0.28277153558052437</c:v>
                </c:pt>
                <c:pt idx="18">
                  <c:v>0.30232558139534882</c:v>
                </c:pt>
                <c:pt idx="19">
                  <c:v>0.20344827586206896</c:v>
                </c:pt>
                <c:pt idx="20">
                  <c:v>0.3291592128801431</c:v>
                </c:pt>
                <c:pt idx="21">
                  <c:v>0.30645161290322581</c:v>
                </c:pt>
                <c:pt idx="22">
                  <c:v>0.20638820638820637</c:v>
                </c:pt>
                <c:pt idx="23">
                  <c:v>0.42219020172910665</c:v>
                </c:pt>
                <c:pt idx="24">
                  <c:v>0.33458646616541354</c:v>
                </c:pt>
                <c:pt idx="25">
                  <c:v>0.22865853658536586</c:v>
                </c:pt>
                <c:pt idx="26">
                  <c:v>0.30292598967297762</c:v>
                </c:pt>
                <c:pt idx="27">
                  <c:v>0.28608247422680411</c:v>
                </c:pt>
                <c:pt idx="28">
                  <c:v>0.35882352941176471</c:v>
                </c:pt>
                <c:pt idx="29">
                  <c:v>0.35740514075887392</c:v>
                </c:pt>
                <c:pt idx="30">
                  <c:v>0.38828633405639912</c:v>
                </c:pt>
                <c:pt idx="31">
                  <c:v>0.33876811594202899</c:v>
                </c:pt>
                <c:pt idx="32">
                  <c:v>0.34416365824308065</c:v>
                </c:pt>
                <c:pt idx="33">
                  <c:v>0.27994428969359331</c:v>
                </c:pt>
                <c:pt idx="34">
                  <c:v>0.35994194484760522</c:v>
                </c:pt>
                <c:pt idx="35">
                  <c:v>0.40280777537796975</c:v>
                </c:pt>
                <c:pt idx="36">
                  <c:v>0.38373751783166904</c:v>
                </c:pt>
                <c:pt idx="37">
                  <c:v>0.29976019184652281</c:v>
                </c:pt>
                <c:pt idx="38">
                  <c:v>0.28059701492537314</c:v>
                </c:pt>
                <c:pt idx="39">
                  <c:v>0.32254196642685851</c:v>
                </c:pt>
                <c:pt idx="40">
                  <c:v>0.34647550776583036</c:v>
                </c:pt>
                <c:pt idx="41">
                  <c:v>0.34389140271493213</c:v>
                </c:pt>
                <c:pt idx="42">
                  <c:v>0.25685425685425683</c:v>
                </c:pt>
                <c:pt idx="43">
                  <c:v>0.36993243243243246</c:v>
                </c:pt>
                <c:pt idx="44">
                  <c:v>0.3524355300859599</c:v>
                </c:pt>
                <c:pt idx="45">
                  <c:v>0.32331902718168815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9-4207-9A6A-F43D26668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02369183"/>
        <c:axId val="702368767"/>
      </c:barChart>
      <c:dateAx>
        <c:axId val="702369183"/>
        <c:scaling>
          <c:orientation val="minMax"/>
        </c:scaling>
        <c:delete val="0"/>
        <c:axPos val="b"/>
        <c:numFmt formatCode="mmm/\y\y\y\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2368767"/>
        <c:crosses val="autoZero"/>
        <c:auto val="1"/>
        <c:lblOffset val="100"/>
        <c:baseTimeUnit val="months"/>
      </c:dateAx>
      <c:valAx>
        <c:axId val="7023687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236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76198</xdr:rowOff>
    </xdr:from>
    <xdr:to>
      <xdr:col>19</xdr:col>
      <xdr:colOff>71437</xdr:colOff>
      <xdr:row>43</xdr:row>
      <xdr:rowOff>154781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8E6159-F683-4029-8343-17597A7AC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488157</xdr:colOff>
      <xdr:row>1</xdr:row>
      <xdr:rowOff>47625</xdr:rowOff>
    </xdr:from>
    <xdr:to>
      <xdr:col>35</xdr:col>
      <xdr:colOff>559593</xdr:colOff>
      <xdr:row>43</xdr:row>
      <xdr:rowOff>142874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94F7E8-CEB0-4251-9186-7146C32DA26A}"/>
            </a:ext>
            <a:ext uri="{147F2762-F138-4A5C-976F-8EAC2B608ADB}">
              <a16:predDERef xmlns:a16="http://schemas.microsoft.com/office/drawing/2014/main" pred="{CF8E6159-F683-4029-8343-17597A7AC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2-09-01&amp;v%5Bcf_74%5D%5B%5D=2022-09-30&amp;f%5B%5D=&amp;c%5B%5D=tracker&amp;c%5B%5D=status&amp;c%5B%5D=subject&amp;c%5B%5D=assigned_to&amp;c%5B%5D=spent_hours&amp;c%5B%5D=done_ratio&amp;c%5B%5D=cf_78&amp;group_by=status&amp;t%5B%5D=" TargetMode="External"/><Relationship Id="rId21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1-04-01&amp;v%5Bcf_74%5D%5B%5D=2021-04-30&amp;f%5B%5D=created_on&amp;op%5Bcreated_on%5D=%3E%3C&amp;v%5Bcreated_on%5D%5B%5D=2021-01-01&amp;v%5Bcreated_on%5D%5B%5D=2021-03-31&amp;f%5B%5D=&amp;c%5B%5D=tracker&amp;c%5B%5D=status&amp;c%5B%5D=subject&amp;c%5B%5D=assigned_to&amp;c%5B%5D=created_on&amp;c%5B%5D=cf_74&amp;group_by=&amp;t%5B%5D=" TargetMode="External"/><Relationship Id="rId63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01-01&amp;v%5Bcreated_on%5D%5B%5D=2022-01-31&amp;f%5B%5D=&amp;c%5B%5D=tracker&amp;c%5B%5D=status&amp;c%5B%5D=subject&amp;c%5B%5D=assigned_to&amp;c%5B%5D=spent_hours&amp;c%5B%5D=done_ratio&amp;c%5B%5D=cf_78&amp;group_by=status&amp;t%5B%5D=" TargetMode="External"/><Relationship Id="rId159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09-01&amp;v%5Bcreated_on%5D%5B%5D=2023-09-30&amp;f%5B%5D=&amp;c%5B%5D=tracker&amp;c%5B%5D=status&amp;c%5B%5D=subject&amp;c%5B%5D=assigned_to&amp;c%5B%5D=spent_hours&amp;c%5B%5D=done_ratio&amp;c%5B%5D=cf_78&amp;group_by=status&amp;t%5B%5D=" TargetMode="External"/><Relationship Id="rId170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03-01&amp;v%5Bcreated_on%5D%5B%5D=2023-03-31&amp;f%5B%5D=status_id&amp;op%5Bstatus_id%5D=c&amp;f%5B%5D=cf_74&amp;op%5Bcf_74%5D=%3E%3C&amp;v%5Bcf_74%5D%5B%5D=2023-03-01&amp;v%5Bcf_74%5D%5B%5D=2023-03-31&amp;f%5B%5D=&amp;c%5B%5D=tracker&amp;c%5B%5D=status&amp;c%5B%5D=subject&amp;c%5B%5D=assigned_to&amp;c%5B%5D=spent_hours&amp;c%5B%5D=done_ratio&amp;c%5B%5D=cf_78&amp;group_by=status&amp;t%5B%5D=" TargetMode="External"/><Relationship Id="rId226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4-04-01&amp;v%5Bcreated_on%5D%5B%5D=2024-04-30&amp;f%5B%5D=&amp;c%5B%5D=tracker&amp;c%5B%5D=status&amp;c%5B%5D=subject&amp;c%5B%5D=assigned_to&amp;c%5B%5D=spent_hours&amp;c%5B%5D=done_ratio&amp;c%5B%5D=cf_78&amp;group_by=status&amp;t%5B%5D=" TargetMode="External"/><Relationship Id="rId268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4-06-01&amp;v%5Bcf_74%5D%5B%5D=2024-06-30&amp;f%5B%5D=created_on&amp;op%5Bcreated_on%5D=%3E%3C&amp;v%5Bcreated_on%5D%5B%5D=2021-01-01&amp;v%5Bcreated_on%5D%5B%5D=2024-05-31&amp;f%5B%5D=&amp;c%5B%5D=tracker&amp;c%5B%5D=status&amp;c%5B%5D=subject&amp;c%5B%5D=assigned_to&amp;c%5B%5D=created_on&amp;c%5B%5D=cf_74&amp;group_by=&amp;t%5B%5D=" TargetMode="External"/><Relationship Id="rId11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1-02-01&amp;v%5Bcf_74%5D%5B%5D=2021-02-28&amp;f%5B%5D=created_on&amp;op%5Bcreated_on%5D=%3E%3C&amp;v%5Bcreated_on%5D%5B%5D=2021-01-01&amp;v%5Bcreated_on%5D%5B%5D=2021-01-31&amp;f%5B%5D=&amp;c%5B%5D=tracker&amp;c%5B%5D=status&amp;c%5B%5D=subject&amp;c%5B%5D=assigned_to&amp;c%5B%5D=created_on&amp;c%5B%5D=cf_74&amp;group_by=&amp;t%5B%5D=" TargetMode="External"/><Relationship Id="rId32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07-01&amp;v%5Bcf_74%5D%5B%5D=2021-07-31&amp;f%5B%5D=&amp;c%5B%5D=tracker&amp;c%5B%5D=status&amp;c%5B%5D=subject&amp;c%5B%5D=assigned_to&amp;c%5B%5D=spent_hours&amp;c%5B%5D=done_ratio&amp;c%5B%5D=cf_78&amp;group_by=status&amp;t%5B%5D=" TargetMode="External"/><Relationship Id="rId53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11-01&amp;v%5Bcreated_on%5D%5B%5D=2021-11-30&amp;f%5B%5D=&amp;c%5B%5D=tracker&amp;c%5B%5D=status&amp;c%5B%5D=subject&amp;c%5B%5D=assigned_to&amp;c%5B%5D=spent_hours&amp;c%5B%5D=done_ratio&amp;c%5B%5D=cf_78&amp;group_by=status&amp;t%5B%5D=" TargetMode="External"/><Relationship Id="rId74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03-01&amp;v%5Bcreated_on%5D%5B%5D=2022-03-31&amp;f%5B%5D=status_id&amp;op%5Bstatus_id%5D=c&amp;f%5B%5D=cf_74&amp;op%5Bcf_74%5D=%3E%3C&amp;v%5Bcf_74%5D%5B%5D=2022-03-01&amp;v%5Bcf_74%5D%5B%5D=2022-03-31&amp;f%5B%5D=&amp;c%5B%5D=tracker&amp;c%5B%5D=status&amp;c%5B%5D=subject&amp;c%5B%5D=assigned_to&amp;c%5B%5D=spent_hours&amp;c%5B%5D=done_ratio&amp;c%5B%5D=cf_78&amp;group_by=status&amp;t%5B%5D=" TargetMode="External"/><Relationship Id="rId128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2-08-01&amp;v%5Bcf_74%5D%5B%5D=2022-08-31&amp;f%5B%5D=created_on&amp;op%5Bcreated_on%5D=%3E%3D&amp;v%5Bcreated_on%5D%5B%5D=2022-09-01&amp;f%5B%5D=&amp;c%5B%5D=tracker&amp;c%5B%5D=status&amp;c%5B%5D=subject&amp;c%5B%5D=assigned_to&amp;c%5B%5D=created_on&amp;c%5B%5D=cf_74&amp;group_by=status&amp;t%5B%5D=" TargetMode="External"/><Relationship Id="rId149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04-01&amp;v%5Bcf_74%5D%5B%5D=2023-04-30&amp;f%5B%5D=&amp;c%5B%5D=tracker&amp;c%5B%5D=status&amp;c%5B%5D=subject&amp;c%5B%5D=assigned_to&amp;c%5B%5D=spent_hours&amp;c%5B%5D=done_ratio&amp;c%5B%5D=cf_78&amp;group_by=status&amp;t%5B%5D=" TargetMode="External"/><Relationship Id="rId5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01-01&amp;v%5Bcreated_on%5D%5B%5D=2021-01-31&amp;f%5B%5D=status_id&amp;op%5Bstatus_id%5D=c&amp;f%5B%5D=cf_74&amp;op%5Bcf_74%5D=%3E%3C&amp;v%5Bcf_74%5D%5B%5D=2021-01-01&amp;v%5Bcf_74%5D%5B%5D=2021-01-31&amp;f%5B%5D=&amp;c%5B%5D=tracker&amp;c%5B%5D=status&amp;c%5B%5D=subject&amp;c%5B%5D=assigned_to&amp;c%5B%5D=spent_hours&amp;c%5B%5D=done_ratio&amp;c%5B%5D=cf_78&amp;group_by=status&amp;t%5B%5D=" TargetMode="External"/><Relationship Id="rId95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04-01&amp;v%5Bcreated_on%5D%5B%5D=2022-04-30&amp;f%5B%5D=status_id&amp;op%5Bstatus_id%5D=c&amp;f%5B%5D=cf_74&amp;op%5Bcf_74%5D=%3E%3C&amp;v%5Bcf_74%5D%5B%5D=2022-04-01&amp;v%5Bcf_74%5D%5B%5D=2022-04-30&amp;f%5B%5D=&amp;c%5B%5D=tracker&amp;c%5B%5D=status&amp;c%5B%5D=subject&amp;c%5B%5D=assigned_to&amp;c%5B%5D=spent_hours&amp;c%5B%5D=done_ratio&amp;c%5B%5D=cf_78&amp;group_by=status&amp;t%5B%5D=" TargetMode="External"/><Relationship Id="rId160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08-01&amp;v%5Bcreated_on%5D%5B%5D=2023-08-31&amp;f%5B%5D=&amp;c%5B%5D=tracker&amp;c%5B%5D=status&amp;c%5B%5D=subject&amp;c%5B%5D=assigned_to&amp;c%5B%5D=spent_hours&amp;c%5B%5D=done_ratio&amp;c%5B%5D=cf_78&amp;group_by=status&amp;t%5B%5D=" TargetMode="External"/><Relationship Id="rId181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3-03-01&amp;v%5Bcf_74%5D%5B%5D=2023-03-31&amp;f%5B%5D=created_on&amp;op%5Bcreated_on%5D=%3E%3D&amp;v%5Bcreated_on%5D%5B%5D=2023-04-01&amp;f%5B%5D=&amp;c%5B%5D=tracker&amp;c%5B%5D=status&amp;c%5B%5D=subject&amp;c%5B%5D=assigned_to&amp;c%5B%5D=created_on&amp;c%5B%5D=cf_74&amp;group_by=status&amp;t%5B%5D=" TargetMode="External"/><Relationship Id="rId216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4-04-01&amp;v%5Bcf_74%5D%5B%5D=2024-04-30&amp;f%5B%5D=&amp;c%5B%5D=tracker&amp;c%5B%5D=status&amp;c%5B%5D=subject&amp;c%5B%5D=assigned_to&amp;c%5B%5D=spent_hours&amp;c%5B%5D=done_ratio&amp;c%5B%5D=cf_78&amp;group_by=status&amp;t%5B%5D=" TargetMode="External"/><Relationship Id="rId237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4-05-01&amp;v%5Bcreated_on%5D%5B%5D=2024-05-31&amp;f%5B%5D=status_id&amp;op%5Bstatus_id%5D=c&amp;f%5B%5D=cf_74&amp;op%5Bcf_74%5D=%3E%3C&amp;v%5Bcf_74%5D%5B%5D=2024-05-01&amp;v%5Bcf_74%5D%5B%5D=2024-05-31&amp;f%5B%5D=&amp;c%5B%5D=tracker&amp;c%5B%5D=status&amp;c%5B%5D=subject&amp;c%5B%5D=assigned_to&amp;c%5B%5D=spent_hours&amp;c%5B%5D=done_ratio&amp;c%5B%5D=cf_78&amp;group_by=status&amp;t%5B%5D=" TargetMode="External"/><Relationship Id="rId258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4-06-01&amp;v%5Bcreated_on%5D%5B%5D=2024-06-30&amp;f%5B%5D=&amp;c%5B%5D=tracker&amp;c%5B%5D=status&amp;c%5B%5D=subject&amp;c%5B%5D=assigned_to&amp;c%5B%5D=created_on&amp;group_by=status&amp;t%5B%5D=" TargetMode="External"/><Relationship Id="rId22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05-01&amp;v%5Bcf_74%5D%5B%5D=2021-05-31&amp;f%5B%5D=&amp;c%5B%5D=tracker&amp;c%5B%5D=status&amp;c%5B%5D=subject&amp;c%5B%5D=assigned_to&amp;c%5B%5D=spent_hours&amp;c%5B%5D=done_ratio&amp;c%5B%5D=cf_78&amp;group_by=status&amp;t%5B%5D=" TargetMode="External"/><Relationship Id="rId43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09-01&amp;v%5Bcreated_on%5D%5B%5D=2021-09-30&amp;f%5B%5D=&amp;c%5B%5D=tracker&amp;c%5B%5D=status&amp;c%5B%5D=subject&amp;c%5B%5D=assigned_to&amp;c%5B%5D=spent_hours&amp;c%5B%5D=done_ratio&amp;c%5B%5D=cf_78&amp;group_by=status&amp;t%5B%5D=" TargetMode="External"/><Relationship Id="rId64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01-01&amp;v%5Bcreated_on%5D%5B%5D=2022-01-31&amp;f%5B%5D=status_id&amp;op%5Bstatus_id%5D=c&amp;f%5B%5D=cf_74&amp;op%5Bcf_74%5D=%3E%3C&amp;v%5Bcf_74%5D%5B%5D=2022-01-01&amp;v%5Bcf_74%5D%5B%5D=2022-01-31&amp;f%5B%5D=&amp;c%5B%5D=tracker&amp;c%5B%5D=status&amp;c%5B%5D=subject&amp;c%5B%5D=assigned_to&amp;c%5B%5D=spent_hours&amp;c%5B%5D=done_ratio&amp;c%5B%5D=cf_78&amp;group_by=status&amp;t%5B%5D=" TargetMode="External"/><Relationship Id="rId118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2-10-01&amp;v%5Bcf_74%5D%5B%5D=2022-10-31&amp;f%5B%5D=&amp;c%5B%5D=tracker&amp;c%5B%5D=status&amp;c%5B%5D=subject&amp;c%5B%5D=assigned_to&amp;c%5B%5D=spent_hours&amp;c%5B%5D=done_ratio&amp;c%5B%5D=cf_78&amp;group_by=status&amp;t%5B%5D=" TargetMode="External"/><Relationship Id="rId139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2-11-01&amp;v%5Bcf_74%5D%5B%5D=2022-11-30&amp;f%5B%5D=created_on&amp;op%5Bcreated_on%5D=%3E%3C&amp;v%5Bcreated_on%5D%5B%5D=2021-01-01&amp;v%5Bcreated_on%5D%5B%5D=2022-10-31&amp;f%5B%5D=&amp;c%5B%5D=tracker&amp;c%5B%5D=status&amp;c%5B%5D=subject&amp;c%5B%5D=assigned_to&amp;c%5B%5D=created_on&amp;c%5B%5D=cf_74&amp;group_by=&amp;t%5B%5D=" TargetMode="External"/><Relationship Id="rId85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09-01&amp;v%5Bcreated_on%5D%5B%5D=2021-09-30&amp;f%5B%5D=&amp;c%5B%5D=tracker&amp;c%5B%5D=status&amp;c%5B%5D=subject&amp;c%5B%5D=assigned_to&amp;c%5B%5D=created_on&amp;group_by=status&amp;t%5B%5D=" TargetMode="External"/><Relationship Id="rId150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05-01&amp;v%5Bcf_74%5D%5B%5D=2023-05-31&amp;f%5B%5D=&amp;c%5B%5D=tracker&amp;c%5B%5D=status&amp;c%5B%5D=subject&amp;c%5B%5D=assigned_to&amp;c%5B%5D=spent_hours&amp;c%5B%5D=done_ratio&amp;c%5B%5D=cf_78&amp;group_by=status&amp;t%5B%5D=" TargetMode="External"/><Relationship Id="rId171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04-01&amp;v%5Bcreated_on%5D%5B%5D=2023-04-30&amp;f%5B%5D=status_id&amp;op%5Bstatus_id%5D=c&amp;f%5B%5D=cf_74&amp;op%5Bcf_74%5D=%3E%3C&amp;v%5Bcf_74%5D%5B%5D=2023-04-01&amp;v%5Bcf_74%5D%5B%5D=2023-04-30&amp;f%5B%5D=&amp;c%5B%5D=tracker&amp;c%5B%5D=status&amp;c%5B%5D=subject&amp;c%5B%5D=assigned_to&amp;c%5B%5D=spent_hours&amp;c%5B%5D=done_ratio&amp;c%5B%5D=cf_78&amp;group_by=status&amp;t%5B%5D=" TargetMode="External"/><Relationship Id="rId192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03-01&amp;v%5Bcreated_on%5D%5B%5D=2023-03-31&amp;f%5B%5D=&amp;c%5B%5D=tracker&amp;c%5B%5D=status&amp;c%5B%5D=subject&amp;c%5B%5D=assigned_to&amp;c%5B%5D=created_on&amp;group_by=status&amp;t%5B%5D=" TargetMode="External"/><Relationship Id="rId206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3-06-01&amp;v%5Bcf_74%5D%5B%5D=2023-06-30&amp;f%5B%5D=created_on&amp;op%5Bcreated_on%5D=%3E%3C&amp;v%5Bcreated_on%5D%5B%5D=2021-01-01&amp;v%5Bcreated_on%5D%5B%5D=2023-05-31&amp;f%5B%5D=&amp;c%5B%5D=tracker&amp;c%5B%5D=status&amp;c%5B%5D=subject&amp;c%5B%5D=assigned_to&amp;c%5B%5D=created_on&amp;c%5B%5D=cf_74&amp;group_by=&amp;t%5B%5D=" TargetMode="External"/><Relationship Id="rId227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4-05-01&amp;v%5Bcreated_on%5D%5B%5D=2024-05-31&amp;f%5B%5D=&amp;c%5B%5D=tracker&amp;c%5B%5D=status&amp;c%5B%5D=subject&amp;c%5B%5D=assigned_to&amp;c%5B%5D=spent_hours&amp;c%5B%5D=done_ratio&amp;c%5B%5D=cf_78&amp;group_by=status&amp;t%5B%5D=" TargetMode="External"/><Relationship Id="rId248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4-05-01&amp;v%5Bcf_74%5D%5B%5D=2024-05-31&amp;f%5B%5D=created_on&amp;op%5Bcreated_on%5D=%3E%3D&amp;v%5Bcreated_on%5D%5B%5D=2024-06-01&amp;f%5B%5D=&amp;c%5B%5D=tracker&amp;c%5B%5D=status&amp;c%5B%5D=subject&amp;c%5B%5D=assigned_to&amp;c%5B%5D=created_on&amp;c%5B%5D=cf_74&amp;group_by=status&amp;t%5B%5D=" TargetMode="External"/><Relationship Id="rId269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4-07-01&amp;v%5Bcf_74%5D%5B%5D=2024-07-31&amp;f%5B%5D=created_on&amp;op%5Bcreated_on%5D=%3E%3C&amp;v%5Bcreated_on%5D%5B%5D=2021-01-01&amp;v%5Bcreated_on%5D%5B%5D=2024-06-30&amp;f%5B%5D=&amp;c%5B%5D=tracker&amp;c%5B%5D=status&amp;c%5B%5D=subject&amp;c%5B%5D=assigned_to&amp;c%5B%5D=created_on&amp;c%5B%5D=cf_74&amp;group_by=&amp;t%5B%5D=" TargetMode="External"/><Relationship Id="rId12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03-01&amp;v%5Bcf_74%5D%5B%5D=2021-03-31&amp;f%5B%5D=&amp;c%5B%5D=tracker&amp;c%5B%5D=status&amp;c%5B%5D=subject&amp;c%5B%5D=assigned_to&amp;c%5B%5D=spent_hours&amp;c%5B%5D=done_ratio&amp;c%5B%5D=cf_78&amp;group_by=status&amp;t%5B%5D=" TargetMode="External"/><Relationship Id="rId33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07-01&amp;v%5Bcreated_on%5D%5B%5D=2021-07-31&amp;f%5B%5D=&amp;c%5B%5D=tracker&amp;c%5B%5D=status&amp;c%5B%5D=subject&amp;c%5B%5D=assigned_to&amp;c%5B%5D=spent_hours&amp;c%5B%5D=done_ratio&amp;c%5B%5D=cf_78&amp;group_by=status&amp;t%5B%5D=" TargetMode="External"/><Relationship Id="rId108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2-06-01&amp;v%5Bcf_74%5D%5B%5D=2022-06-30&amp;f%5B%5D=created_on&amp;op%5Bcreated_on%5D=%3E%3D&amp;v%5Bcreated_on%5D%5B%5D=2022-07-01&amp;f%5B%5D=&amp;c%5B%5D=tracker&amp;c%5B%5D=status&amp;c%5B%5D=subject&amp;c%5B%5D=assigned_to&amp;c%5B%5D=created_on&amp;c%5B%5D=cf_74&amp;group_by=status&amp;t%5B%5D=" TargetMode="External"/><Relationship Id="rId129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2-09-01&amp;v%5Bcf_74%5D%5B%5D=2022-09-30&amp;f%5B%5D=created_on&amp;op%5Bcreated_on%5D=%3E%3D&amp;v%5Bcreated_on%5D%5B%5D=2022-10-01&amp;f%5B%5D=&amp;c%5B%5D=tracker&amp;c%5B%5D=status&amp;c%5B%5D=subject&amp;c%5B%5D=assigned_to&amp;c%5B%5D=created_on&amp;c%5B%5D=cf_74&amp;group_by=status&amp;t%5B%5D=" TargetMode="External"/><Relationship Id="rId54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11-01&amp;v%5Bcreated_on%5D%5B%5D=2021-11-30&amp;f%5B%5D=status_id&amp;op%5Bstatus_id%5D=c&amp;f%5B%5D=cf_74&amp;op%5Bcf_74%5D=%3E%3C&amp;v%5Bcf_74%5D%5B%5D=2021-11-01&amp;v%5Bcf_74%5D%5B%5D=2021-11-30&amp;f%5B%5D=&amp;c%5B%5D=tracker&amp;c%5B%5D=status&amp;c%5B%5D=subject&amp;c%5B%5D=assigned_to&amp;c%5B%5D=spent_hours&amp;c%5B%5D=done_ratio&amp;c%5B%5D=cf_78&amp;group_by=status&amp;t%5B%5D=" TargetMode="External"/><Relationship Id="rId75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2-03-01&amp;v%5Bcf_74%5D%5B%5D=2022-03-31&amp;f%5B%5D=created_on&amp;op%5Bcreated_on%5D=%3E%3D&amp;v%5Bcreated_on%5D%5B%5D=2022-04-01&amp;f%5B%5D=&amp;c%5B%5D=tracker&amp;c%5B%5D=status&amp;c%5B%5D=subject&amp;c%5B%5D=assigned_to&amp;c%5B%5D=created_on&amp;c%5B%5D=cf_74&amp;group_by=status&amp;t%5B%5D=" TargetMode="External"/><Relationship Id="rId96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04-01&amp;v%5Bcreated_on%5D%5B%5D=2022-04-30&amp;f%5B%5D=&amp;c%5B%5D=tracker&amp;c%5B%5D=status&amp;c%5B%5D=subject&amp;c%5B%5D=assigned_to&amp;c%5B%5D=spent_hours&amp;c%5B%5D=done_ratio&amp;c%5B%5D=cf_78&amp;group_by=status&amp;t%5B%5D=" TargetMode="External"/><Relationship Id="rId140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2-12-01&amp;v%5Bcf_74%5D%5B%5D=2022-12-31&amp;f%5B%5D=&amp;c%5B%5D=tracker&amp;c%5B%5D=status&amp;c%5B%5D=subject&amp;c%5B%5D=assigned_to&amp;c%5B%5D=spent_hours&amp;c%5B%5D=done_ratio&amp;c%5B%5D=cf_78&amp;group_by=status&amp;t%5B%5D=" TargetMode="External"/><Relationship Id="rId161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07-01&amp;v%5Bcreated_on%5D%5B%5D=2023-07-31&amp;f%5B%5D=&amp;c%5B%5D=tracker&amp;c%5B%5D=status&amp;c%5B%5D=subject&amp;c%5B%5D=assigned_to&amp;c%5B%5D=spent_hours&amp;c%5B%5D=done_ratio&amp;c%5B%5D=cf_78&amp;group_by=status&amp;t%5B%5D=" TargetMode="External"/><Relationship Id="rId182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3-04-01&amp;v%5Bcf_74%5D%5B%5D=2023-04-30&amp;f%5B%5D=created_on&amp;op%5Bcreated_on%5D=%3E%3D&amp;v%5Bcreated_on%5D%5B%5D=2023-05-01&amp;f%5B%5D=&amp;c%5B%5D=tracker&amp;c%5B%5D=status&amp;c%5B%5D=subject&amp;c%5B%5D=assigned_to&amp;c%5B%5D=created_on&amp;c%5B%5D=cf_74&amp;group_by=status&amp;t%5B%5D=" TargetMode="External"/><Relationship Id="rId217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4-05-01&amp;v%5Bcf_74%5D%5B%5D=2024-05-31&amp;f%5B%5D=&amp;c%5B%5D=tracker&amp;c%5B%5D=status&amp;c%5B%5D=subject&amp;c%5B%5D=assigned_to&amp;c%5B%5D=spent_hours&amp;c%5B%5D=done_ratio&amp;c%5B%5D=cf_78&amp;group_by=status&amp;t%5B%5D=" TargetMode="External"/><Relationship Id="rId6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1-01-01&amp;v%5Bcf_74%5D%5B%5D=2021-01-31&amp;f%5B%5D=created_on&amp;op%5Bcreated_on%5D=%3E%3D&amp;v%5Bcreated_on%5D%5B%5D=2021-02-01&amp;f%5B%5D=&amp;c%5B%5D=tracker&amp;c%5B%5D=status&amp;c%5B%5D=subject&amp;c%5B%5D=assigned_to&amp;c%5B%5D=created_on&amp;c%5B%5D=cf_74&amp;group_by=status&amp;t%5B%5D=" TargetMode="External"/><Relationship Id="rId238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4-06-01&amp;v%5Bcreated_on%5D%5B%5D=2024-06-30&amp;f%5B%5D=status_id&amp;op%5Bstatus_id%5D=c&amp;f%5B%5D=cf_74&amp;op%5Bcf_74%5D=%3E%3C&amp;v%5Bcf_74%5D%5B%5D=2024-06-01&amp;v%5Bcf_74%5D%5B%5D=2024-06-30&amp;f%5B%5D=&amp;c%5B%5D=tracker&amp;c%5B%5D=status&amp;c%5B%5D=subject&amp;c%5B%5D=assigned_to&amp;c%5B%5D=spent_hours&amp;c%5B%5D=done_ratio&amp;c%5B%5D=cf_78&amp;group_by=status&amp;t%5B%5D=" TargetMode="External"/><Relationship Id="rId259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4-07-01&amp;v%5Bcreated_on%5D%5B%5D=2024-07-31&amp;f%5B%5D=&amp;c%5B%5D=tracker&amp;c%5B%5D=status&amp;c%5B%5D=subject&amp;c%5B%5D=assigned_to&amp;c%5B%5D=created_on&amp;group_by=status&amp;t%5B%5D=" TargetMode="External"/><Relationship Id="rId23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05-01&amp;v%5Bcreated_on%5D%5B%5D=2021-05-31&amp;f%5B%5D=&amp;c%5B%5D=tracker&amp;c%5B%5D=status&amp;c%5B%5D=subject&amp;c%5B%5D=assigned_to&amp;c%5B%5D=spent_hours&amp;c%5B%5D=done_ratio&amp;c%5B%5D=cf_78&amp;group_by=status&amp;t%5B%5D=" TargetMode="External"/><Relationship Id="rId119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2-11-01&amp;v%5Bcf_74%5D%5B%5D=2022-11-30&amp;f%5B%5D=&amp;c%5B%5D=tracker&amp;c%5B%5D=status&amp;c%5B%5D=subject&amp;c%5B%5D=assigned_to&amp;c%5B%5D=spent_hours&amp;c%5B%5D=done_ratio&amp;c%5B%5D=cf_78&amp;group_by=status&amp;t%5B%5D=" TargetMode="External"/><Relationship Id="rId270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4-08-01&amp;v%5Bcf_74%5D%5B%5D=2024-08-31&amp;f%5B%5D=created_on&amp;op%5Bcreated_on%5D=%3E%3C&amp;v%5Bcreated_on%5D%5B%5D=2021-01-01&amp;v%5Bcreated_on%5D%5B%5D=2024-07-31&amp;f%5B%5D=&amp;c%5B%5D=tracker&amp;c%5B%5D=status&amp;c%5B%5D=subject&amp;c%5B%5D=assigned_to&amp;c%5B%5D=created_on&amp;c%5B%5D=cf_74&amp;group_by=&amp;t%5B%5D=" TargetMode="External"/><Relationship Id="rId44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09-01&amp;v%5Bcreated_on%5D%5B%5D=2021-09-30&amp;f%5B%5D=status_id&amp;op%5Bstatus_id%5D=c&amp;f%5B%5D=cf_74&amp;op%5Bcf_74%5D=%3E%3C&amp;v%5Bcf_74%5D%5B%5D=2021-09-01&amp;v%5Bcf_74%5D%5B%5D=2021-09-30&amp;f%5B%5D=&amp;c%5B%5D=tracker&amp;c%5B%5D=status&amp;c%5B%5D=subject&amp;c%5B%5D=assigned_to&amp;c%5B%5D=spent_hours&amp;c%5B%5D=done_ratio&amp;c%5B%5D=cf_78&amp;group_by=status&amp;t%5B%5D=" TargetMode="External"/><Relationship Id="rId65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2-01-01&amp;v%5Bcf_74%5D%5B%5D=2022-01-31&amp;f%5B%5D=created_on&amp;op%5Bcreated_on%5D=%3E%3D&amp;v%5Bcreated_on%5D%5B%5D=2022-02-01&amp;f%5B%5D=&amp;c%5B%5D=tracker&amp;c%5B%5D=status&amp;c%5B%5D=subject&amp;c%5B%5D=assigned_to&amp;c%5B%5D=created_on&amp;c%5B%5D=cf_74&amp;group_by=status&amp;t%5B%5D=" TargetMode="External"/><Relationship Id="rId86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08-01&amp;v%5Bcreated_on%5D%5B%5D=2021-08-31&amp;f%5B%5D=&amp;c%5B%5D=tracker&amp;c%5B%5D=status&amp;c%5B%5D=subject&amp;c%5B%5D=assigned_to&amp;c%5B%5D=created_on&amp;group_by=status&amp;t%5B%5D=" TargetMode="External"/><Relationship Id="rId130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2-10-01&amp;v%5Bcf_74%5D%5B%5D=2022-10-31&amp;f%5B%5D=created_on&amp;op%5Bcreated_on%5D=%3E%3D&amp;v%5Bcreated_on%5D%5B%5D=2022-11-01&amp;f%5B%5D=&amp;c%5B%5D=tracker&amp;c%5B%5D=status&amp;c%5B%5D=subject&amp;c%5B%5D=assigned_to&amp;c%5B%5D=created_on&amp;c%5B%5D=cf_74&amp;group_by=status&amp;t%5B%5D=" TargetMode="External"/><Relationship Id="rId151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06-01&amp;v%5Bcf_74%5D%5B%5D=2023-06-30&amp;f%5B%5D=&amp;c%5B%5D=tracker&amp;c%5B%5D=status&amp;c%5B%5D=subject&amp;c%5B%5D=assigned_to&amp;c%5B%5D=spent_hours&amp;c%5B%5D=done_ratio&amp;c%5B%5D=cf_78&amp;group_by=status&amp;t%5B%5D=" TargetMode="External"/><Relationship Id="rId172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05-01&amp;v%5Bcreated_on%5D%5B%5D=2023-05-31&amp;f%5B%5D=status_id&amp;op%5Bstatus_id%5D=c&amp;f%5B%5D=cf_74&amp;op%5Bcf_74%5D=%3E%3C&amp;v%5Bcf_74%5D%5B%5D=2023-05-01&amp;v%5Bcf_74%5D%5B%5D=2023-05-31&amp;f%5B%5D=&amp;c%5B%5D=tracker&amp;c%5B%5D=status&amp;c%5B%5D=subject&amp;c%5B%5D=assigned_to&amp;c%5B%5D=spent_hours&amp;c%5B%5D=done_ratio&amp;c%5B%5D=cf_78&amp;group_by=status&amp;t%5B%5D=" TargetMode="External"/><Relationship Id="rId193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04-01&amp;v%5Bcreated_on%5D%5B%5D=2023-04-30&amp;f%5B%5D=&amp;c%5B%5D=tracker&amp;c%5B%5D=status&amp;c%5B%5D=subject&amp;c%5B%5D=assigned_to&amp;c%5B%5D=created_on&amp;group_by=status&amp;t%5B%5D=" TargetMode="External"/><Relationship Id="rId207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3-07-01&amp;v%5Bcf_74%5D%5B%5D=2023-07-31&amp;f%5B%5D=created_on&amp;op%5Bcreated_on%5D=%3E%3C&amp;v%5Bcreated_on%5D%5B%5D=2021-01-01&amp;v%5Bcreated_on%5D%5B%5D=2023-06-30&amp;f%5B%5D=&amp;c%5B%5D=tracker&amp;c%5B%5D=status&amp;c%5B%5D=subject&amp;c%5B%5D=assigned_to&amp;c%5B%5D=created_on&amp;c%5B%5D=cf_74&amp;group_by=&amp;t%5B%5D=" TargetMode="External"/><Relationship Id="rId228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4-06-01&amp;v%5Bcreated_on%5D%5B%5D=2024-06-30&amp;f%5B%5D=&amp;c%5B%5D=tracker&amp;c%5B%5D=status&amp;c%5B%5D=subject&amp;c%5B%5D=assigned_to&amp;c%5B%5D=spent_hours&amp;c%5B%5D=done_ratio&amp;c%5B%5D=cf_78&amp;group_by=status&amp;t%5B%5D=" TargetMode="External"/><Relationship Id="rId249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4-06-01&amp;v%5Bcf_74%5D%5B%5D=2024-06-30&amp;f%5B%5D=created_on&amp;op%5Bcreated_on%5D=%3E%3D&amp;v%5Bcreated_on%5D%5B%5D=2024-07-01&amp;f%5B%5D=&amp;c%5B%5D=tracker&amp;c%5B%5D=status&amp;c%5B%5D=subject&amp;c%5B%5D=assigned_to&amp;c%5B%5D=created_on&amp;c%5B%5D=cf_74&amp;group_by=status&amp;t%5B%5D=" TargetMode="External"/><Relationship Id="rId13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03-01&amp;v%5Bcreated_on%5D%5B%5D=2021-03-31&amp;f%5B%5D=&amp;c%5B%5D=tracker&amp;c%5B%5D=status&amp;c%5B%5D=subject&amp;c%5B%5D=assigned_to&amp;c%5B%5D=spent_hours&amp;c%5B%5D=done_ratio&amp;c%5B%5D=cf_78&amp;group_by=status&amp;t%5B%5D=" TargetMode="External"/><Relationship Id="rId109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2-07-01&amp;v%5Bcf_74%5D%5B%5D=2022-07-31&amp;f%5B%5D=created_on&amp;op%5Bcreated_on%5D=%3E%3D&amp;v%5Bcreated_on%5D%5B%5D=2022-08-01&amp;f%5B%5D=&amp;c%5B%5D=tracker&amp;c%5B%5D=status&amp;c%5B%5D=subject&amp;c%5B%5D=assigned_to&amp;c%5B%5D=created_on&amp;c%5B%5D=cf_74&amp;group_by=status&amp;t%5B%5D=" TargetMode="External"/><Relationship Id="rId260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4-08-01&amp;v%5Bcreated_on%5D%5B%5D=2024-08-31&amp;f%5B%5D=&amp;c%5B%5D=tracker&amp;c%5B%5D=status&amp;c%5B%5D=subject&amp;c%5B%5D=assigned_to&amp;c%5B%5D=created_on&amp;group_by=status&amp;t%5B%5D=" TargetMode="External"/><Relationship Id="rId34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07-01&amp;v%5Bcreated_on%5D%5B%5D=2021-07-31&amp;f%5B%5D=status_id&amp;op%5Bstatus_id%5D=c&amp;f%5B%5D=cf_74&amp;op%5Bcf_74%5D=%3E%3C&amp;v%5Bcf_74%5D%5B%5D=2021-07-01&amp;v%5Bcf_74%5D%5B%5D=2021-07-31&amp;f%5B%5D=&amp;c%5B%5D=tracker&amp;c%5B%5D=status&amp;c%5B%5D=subject&amp;c%5B%5D=assigned_to&amp;c%5B%5D=spent_hours&amp;c%5B%5D=done_ratio&amp;c%5B%5D=cf_78&amp;group_by=status&amp;t%5B%5D=" TargetMode="External"/><Relationship Id="rId55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1-11-01&amp;v%5Bcf_74%5D%5B%5D=2021-11-30&amp;f%5B%5D=created_on&amp;op%5Bcreated_on%5D=%3E%3D&amp;v%5Bcreated_on%5D%5B%5D=2021-12-01&amp;f%5B%5D=&amp;c%5B%5D=tracker&amp;c%5B%5D=status&amp;c%5B%5D=subject&amp;c%5B%5D=assigned_to&amp;c%5B%5D=created_on&amp;c%5B%5D=cf_74&amp;group_by=status&amp;t%5B%5D=" TargetMode="External"/><Relationship Id="rId76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2-03-01&amp;v%5Bcf_74%5D%5B%5D=2022-03-31&amp;f%5B%5D=created_on&amp;op%5Bcreated_on%5D=%3E%3C&amp;v%5Bcreated_on%5D%5B%5D=2021-01-01&amp;v%5Bcreated_on%5D%5B%5D=2022-02-28&amp;f%5B%5D=&amp;c%5B%5D=tracker&amp;c%5B%5D=status&amp;c%5B%5D=subject&amp;c%5B%5D=assigned_to&amp;c%5B%5D=created_on&amp;c%5B%5D=cf_74&amp;group_by=&amp;t%5B%5D=" TargetMode="External"/><Relationship Id="rId97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2-05-01&amp;v%5Bcf_74%5D%5B%5D=2022-05-31&amp;f%5B%5D=&amp;c%5B%5D=tracker&amp;c%5B%5D=status&amp;c%5B%5D=subject&amp;c%5B%5D=assigned_to&amp;c%5B%5D=spent_hours&amp;c%5B%5D=done_ratio&amp;c%5B%5D=cf_78&amp;group_by=status&amp;t%5B%5D=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2-04-01&amp;v%5Bcf_74%5D%5B%5D=2022-04-30&amp;f%5B%5D=&amp;c%5B%5D=tracker&amp;c%5B%5D=status&amp;c%5B%5D=subject&amp;c%5B%5D=assigned_to&amp;c%5B%5D=spent_hours&amp;c%5B%5D=done_ratio&amp;c%5B%5D=cf_78&amp;group_by=status&amp;t%5B%5D=" TargetMode="External"/><Relationship Id="rId120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08-01&amp;v%5Bcreated_on%5D%5B%5D=2022-08-31&amp;f%5B%5D=&amp;c%5B%5D=tracker&amp;c%5B%5D=status&amp;c%5B%5D=subject&amp;c%5B%5D=assigned_to&amp;c%5B%5D=spent_hours&amp;c%5B%5D=done_ratio&amp;c%5B%5D=cf_78&amp;group_by=status&amp;t%5B%5D=" TargetMode="External"/><Relationship Id="rId141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12-01&amp;v%5Bcreated_on%5D%5B%5D=2022-12-31&amp;f%5B%5D=&amp;c%5B%5D=tracker&amp;c%5B%5D=status&amp;c%5B%5D=subject&amp;c%5B%5D=assigned_to&amp;c%5B%5D=spent_hours&amp;c%5B%5D=done_ratio&amp;c%5B%5D=cf_78&amp;group_by=status&amp;t%5B%5D=" TargetMode="External"/><Relationship Id="rId7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02-01&amp;v%5Bcf_74%5D%5B%5D=2021-02-28&amp;f%5B%5D=&amp;c%5B%5D=tracker&amp;c%5B%5D=status&amp;c%5B%5D=subject&amp;c%5B%5D=assigned_to&amp;c%5B%5D=spent_hours&amp;c%5B%5D=done_ratio&amp;c%5B%5D=cf_78&amp;group_by=status&amp;t%5B%5D=" TargetMode="External"/><Relationship Id="rId162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06-01&amp;v%5Bcreated_on%5D%5B%5D=2023-06-30&amp;f%5B%5D=&amp;c%5B%5D=tracker&amp;c%5B%5D=status&amp;c%5B%5D=subject&amp;c%5B%5D=assigned_to&amp;c%5B%5D=spent_hours&amp;c%5B%5D=done_ratio&amp;c%5B%5D=cf_78&amp;group_by=status&amp;t%5B%5D=" TargetMode="External"/><Relationship Id="rId183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3-05-01&amp;v%5Bcf_74%5D%5B%5D=2023-05-31&amp;f%5B%5D=created_on&amp;op%5Bcreated_on%5D=%3E%3D&amp;v%5Bcreated_on%5D%5B%5D=2023-06-01&amp;f%5B%5D=&amp;c%5B%5D=tracker&amp;c%5B%5D=status&amp;c%5B%5D=subject&amp;c%5B%5D=assigned_to&amp;c%5B%5D=created_on&amp;c%5B%5D=cf_74&amp;group_by=status&amp;t%5B%5D=" TargetMode="External"/><Relationship Id="rId218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4-06-01&amp;v%5Bcf_74%5D%5B%5D=2024-06-30&amp;f%5B%5D=&amp;c%5B%5D=tracker&amp;c%5B%5D=status&amp;c%5B%5D=subject&amp;c%5B%5D=assigned_to&amp;c%5B%5D=spent_hours&amp;c%5B%5D=done_ratio&amp;c%5B%5D=cf_78&amp;group_by=status&amp;t%5B%5D=" TargetMode="External"/><Relationship Id="rId239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4-07-01&amp;v%5Bcreated_on%5D%5B%5D=2024-07-31&amp;f%5B%5D=status_id&amp;op%5Bstatus_id%5D=c&amp;f%5B%5D=cf_74&amp;op%5Bcf_74%5D=%3E%3C&amp;v%5Bcf_74%5D%5B%5D=2024-07-01&amp;v%5Bcf_74%5D%5B%5D=2024-07-31&amp;f%5B%5D=&amp;c%5B%5D=tracker&amp;c%5B%5D=status&amp;c%5B%5D=subject&amp;c%5B%5D=assigned_to&amp;c%5B%5D=spent_hours&amp;c%5B%5D=done_ratio&amp;c%5B%5D=cf_78&amp;group_by=status&amp;t%5B%5D=" TargetMode="External"/><Relationship Id="rId250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4-07-01&amp;v%5Bcf_74%5D%5B%5D=2024-07-31&amp;f%5B%5D=created_on&amp;op%5Bcreated_on%5D=%3E%3D&amp;v%5Bcreated_on%5D%5B%5D=2024-08-01&amp;f%5B%5D=&amp;c%5B%5D=tracker&amp;c%5B%5D=status&amp;c%5B%5D=subject&amp;c%5B%5D=assigned_to&amp;c%5B%5D=created_on&amp;c%5B%5D=cf_74&amp;group_by=status&amp;t%5B%5D=" TargetMode="External"/><Relationship Id="rId271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4-09-01&amp;v%5Bcf_74%5D%5B%5D=2024-09-30&amp;f%5B%5D=created_on&amp;op%5Bcreated_on%5D=%3E%3C&amp;v%5Bcreated_on%5D%5B%5D=2021-01-01&amp;v%5Bcreated_on%5D%5B%5D=2024-08-31&amp;f%5B%5D=&amp;c%5B%5D=tracker&amp;c%5B%5D=status&amp;c%5B%5D=subject&amp;c%5B%5D=assigned_to&amp;c%5B%5D=created_on&amp;c%5B%5D=cf_74&amp;group_by=&amp;t%5B%5D=" TargetMode="External"/><Relationship Id="rId24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05-01&amp;v%5Bcreated_on%5D%5B%5D=2021-05-31&amp;f%5B%5D=status_id&amp;op%5Bstatus_id%5D=c&amp;f%5B%5D=cf_74&amp;op%5Bcf_74%5D=%3E%3C&amp;v%5Bcf_74%5D%5B%5D=2021-05-01&amp;v%5Bcf_74%5D%5B%5D=2021-05-31&amp;f%5B%5D=&amp;c%5B%5D=tracker&amp;c%5B%5D=status&amp;c%5B%5D=subject&amp;c%5B%5D=assigned_to&amp;c%5B%5D=spent_hours&amp;c%5B%5D=done_ratio&amp;c%5B%5D=cf_78&amp;group_by=status&amp;t%5B%5D=" TargetMode="External"/><Relationship Id="rId45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1-09-01&amp;v%5Bcf_74%5D%5B%5D=2021-09-30&amp;f%5B%5D=created_on&amp;op%5Bcreated_on%5D=%3E%3D&amp;v%5Bcreated_on%5D%5B%5D=2021-10-01&amp;f%5B%5D=&amp;c%5B%5D=tracker&amp;c%5B%5D=status&amp;c%5B%5D=subject&amp;c%5B%5D=assigned_to&amp;c%5B%5D=created_on&amp;c%5B%5D=cf_74&amp;group_by=status&amp;t%5B%5D=" TargetMode="External"/><Relationship Id="rId66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2-01-01&amp;v%5Bcf_74%5D%5B%5D=2022-01-31&amp;f%5B%5D=created_on&amp;op%5Bcreated_on%5D=%3E%3C&amp;v%5Bcreated_on%5D%5B%5D=2021-01-01&amp;v%5Bcreated_on%5D%5B%5D=2021-12-31&amp;f%5B%5D=&amp;c%5B%5D=tracker&amp;c%5B%5D=status&amp;c%5B%5D=subject&amp;c%5B%5D=assigned_to&amp;c%5B%5D=created_on&amp;c%5B%5D=cf_74&amp;group_by=&amp;t%5B%5D=" TargetMode="External"/><Relationship Id="rId87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07-01&amp;v%5Bcreated_on%5D%5B%5D=2021-07-31&amp;f%5B%5D=&amp;c%5B%5D=tracker&amp;c%5B%5D=status&amp;c%5B%5D=subject&amp;c%5B%5D=assigned_to&amp;c%5B%5D=created_on&amp;group_by=status&amp;t%5B%5D=" TargetMode="External"/><Relationship Id="rId110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05-01&amp;v%5Bcreated_on%5D%5B%5D=2022-05-31&amp;f%5B%5D=&amp;c%5B%5D=tracker&amp;c%5B%5D=status&amp;c%5B%5D=subject&amp;c%5B%5D=assigned_to&amp;c%5B%5D=created_on&amp;group_by=status&amp;t%5B%5D=" TargetMode="External"/><Relationship Id="rId131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2-11-01&amp;v%5Bcf_74%5D%5B%5D=2022-11-30&amp;f%5B%5D=created_on&amp;op%5Bcreated_on%5D=%3E%3D&amp;v%5Bcreated_on%5D%5B%5D=2022-12-01&amp;f%5B%5D=&amp;c%5B%5D=tracker&amp;c%5B%5D=status&amp;c%5B%5D=subject&amp;c%5B%5D=assigned_to&amp;c%5B%5D=created_on&amp;c%5B%5D=cf_74&amp;group_by=status&amp;t%5B%5D=" TargetMode="External"/><Relationship Id="rId152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07-01&amp;v%5Bcf_74%5D%5B%5D=2023-07-31&amp;f%5B%5D=&amp;c%5B%5D=tracker&amp;c%5B%5D=status&amp;c%5B%5D=subject&amp;c%5B%5D=assigned_to&amp;c%5B%5D=spent_hours&amp;c%5B%5D=done_ratio&amp;c%5B%5D=cf_78&amp;group_by=status&amp;t%5B%5D=" TargetMode="External"/><Relationship Id="rId173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06-01&amp;v%5Bcreated_on%5D%5B%5D=2023-06-30&amp;f%5B%5D=status_id&amp;op%5Bstatus_id%5D=c&amp;f%5B%5D=cf_74&amp;op%5Bcf_74%5D=%3E%3C&amp;v%5Bcf_74%5D%5B%5D=2023-06-01&amp;v%5Bcf_74%5D%5B%5D=2023-06-30&amp;f%5B%5D=&amp;c%5B%5D=tracker&amp;c%5B%5D=status&amp;c%5B%5D=subject&amp;c%5B%5D=assigned_to&amp;c%5B%5D=spent_hours&amp;c%5B%5D=done_ratio&amp;c%5B%5D=cf_78&amp;group_by=status&amp;t%5B%5D=" TargetMode="External"/><Relationship Id="rId194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05-01&amp;v%5Bcreated_on%5D%5B%5D=2023-05-31&amp;f%5B%5D=&amp;c%5B%5D=tracker&amp;c%5B%5D=status&amp;c%5B%5D=subject&amp;c%5B%5D=assigned_to&amp;c%5B%5D=created_on&amp;group_by=status&amp;t%5B%5D=" TargetMode="External"/><Relationship Id="rId208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3-08-01&amp;v%5Bcf_74%5D%5B%5D=2023-08-31&amp;f%5B%5D=created_on&amp;op%5Bcreated_on%5D=%3E%3C&amp;v%5Bcreated_on%5D%5B%5D=2021-01-01&amp;v%5Bcreated_on%5D%5B%5D=2023-07-31&amp;f%5B%5D=&amp;c%5B%5D=tracker&amp;c%5B%5D=status&amp;c%5B%5D=subject&amp;c%5B%5D=assigned_to&amp;c%5B%5D=created_on&amp;c%5B%5D=cf_74&amp;group_by=&amp;t%5B%5D=" TargetMode="External"/><Relationship Id="rId229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4-07-01&amp;v%5Bcreated_on%5D%5B%5D=2024-07-31&amp;f%5B%5D=&amp;c%5B%5D=tracker&amp;c%5B%5D=status&amp;c%5B%5D=subject&amp;c%5B%5D=assigned_to&amp;c%5B%5D=spent_hours&amp;c%5B%5D=done_ratio&amp;c%5B%5D=cf_78&amp;group_by=status&amp;t%5B%5D=" TargetMode="External"/><Relationship Id="rId240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4-08-01&amp;v%5Bcreated_on%5D%5B%5D=2024-08-31&amp;f%5B%5D=status_id&amp;op%5Bstatus_id%5D=c&amp;f%5B%5D=cf_74&amp;op%5Bcf_74%5D=%3E%3C&amp;v%5Bcf_74%5D%5B%5D=2024-08-01&amp;v%5Bcf_74%5D%5B%5D=2024-08-31&amp;f%5B%5D=&amp;c%5B%5D=tracker&amp;c%5B%5D=status&amp;c%5B%5D=subject&amp;c%5B%5D=assigned_to&amp;c%5B%5D=spent_hours&amp;c%5B%5D=done_ratio&amp;c%5B%5D=cf_78&amp;group_by=status&amp;t%5B%5D=" TargetMode="External"/><Relationship Id="rId261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4-09-01&amp;v%5Bcreated_on%5D%5B%5D=2024-09-30&amp;f%5B%5D=&amp;c%5B%5D=tracker&amp;c%5B%5D=status&amp;c%5B%5D=subject&amp;c%5B%5D=assigned_to&amp;c%5B%5D=created_on&amp;group_by=status&amp;t%5B%5D=" TargetMode="External"/><Relationship Id="rId14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03-01&amp;v%5Bcreated_on%5D%5B%5D=2021-03-31&amp;f%5B%5D=status_id&amp;op%5Bstatus_id%5D=c&amp;f%5B%5D=cf_74&amp;op%5Bcf_74%5D=%3E%3C&amp;v%5Bcf_74%5D%5B%5D=2021-03-01&amp;v%5Bcf_74%5D%5B%5D=2021-03-31&amp;f%5B%5D=&amp;c%5B%5D=tracker&amp;c%5B%5D=status&amp;c%5B%5D=subject&amp;c%5B%5D=assigned_to&amp;c%5B%5D=spent_hours&amp;c%5B%5D=done_ratio&amp;c%5B%5D=cf_78&amp;group_by=status&amp;t%5B%5D=" TargetMode="External"/><Relationship Id="rId35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1-07-01&amp;v%5Bcf_74%5D%5B%5D=2021-07-31&amp;f%5B%5D=created_on&amp;op%5Bcreated_on%5D=%3E%3D&amp;v%5Bcreated_on%5D%5B%5D=2021-08-01&amp;f%5B%5D=&amp;c%5B%5D=tracker&amp;c%5B%5D=status&amp;c%5B%5D=subject&amp;c%5B%5D=assigned_to&amp;c%5B%5D=created_on&amp;c%5B%5D=cf_74&amp;group_by=status&amp;t%5B%5D=" TargetMode="External"/><Relationship Id="rId56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1-11-01&amp;v%5Bcf_74%5D%5B%5D=2021-11-30&amp;f%5B%5D=created_on&amp;op%5Bcreated_on%5D=%3E%3C&amp;v%5Bcreated_on%5D%5B%5D=2021-01-01&amp;v%5Bcreated_on%5D%5B%5D=2021-10-31&amp;f%5B%5D=&amp;c%5B%5D=tracker&amp;c%5B%5D=status&amp;c%5B%5D=subject&amp;c%5B%5D=assigned_to&amp;c%5B%5D=created_on&amp;c%5B%5D=cf_74&amp;group_by=&amp;t%5B%5D=" TargetMode="External"/><Relationship Id="rId77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2-04-01&amp;v%5Bcf_74%5D%5B%5D=2022-04-30&amp;f%5B%5D=&amp;c%5B%5D=tracker&amp;c%5B%5D=status&amp;c%5B%5D=subject&amp;c%5B%5D=assigned_to&amp;c%5B%5D=spent_hours&amp;c%5B%5D=done_ratio&amp;c%5B%5D=cf_78&amp;group_by=status&amp;t%5B%5D=" TargetMode="External"/><Relationship Id="rId100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05-01&amp;v%5Bcreated_on%5D%5B%5D=2022-05-31&amp;f%5B%5D=&amp;c%5B%5D=tracker&amp;c%5B%5D=status&amp;c%5B%5D=subject&amp;c%5B%5D=assigned_to&amp;c%5B%5D=spent_hours&amp;c%5B%5D=done_ratio&amp;c%5B%5D=cf_78&amp;group_by=status&amp;t%5B%5D=" TargetMode="External"/><Relationship Id="rId8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02-01&amp;v%5Bcreated_on%5D%5B%5D=2021-02-28&amp;f%5B%5D=&amp;c%5B%5D=tracker&amp;c%5B%5D=status&amp;c%5B%5D=subject&amp;c%5B%5D=assigned_to&amp;c%5B%5D=spent_hours&amp;c%5B%5D=done_ratio&amp;c%5B%5D=cf_78&amp;group_by=status&amp;t%5B%5D=" TargetMode="External"/><Relationship Id="rId98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2-06-01&amp;v%5Bcf_74%5D%5B%5D=2022-06-30&amp;f%5B%5D=&amp;c%5B%5D=tracker&amp;c%5B%5D=status&amp;c%5B%5D=subject&amp;c%5B%5D=assigned_to&amp;c%5B%5D=spent_hours&amp;c%5B%5D=done_ratio&amp;c%5B%5D=cf_78&amp;group_by=status&amp;t%5B%5D=" TargetMode="External"/><Relationship Id="rId121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09-01&amp;v%5Bcreated_on%5D%5B%5D=2022-09-30&amp;f%5B%5D=&amp;c%5B%5D=tracker&amp;c%5B%5D=status&amp;c%5B%5D=subject&amp;c%5B%5D=assigned_to&amp;c%5B%5D=spent_hours&amp;c%5B%5D=done_ratio&amp;c%5B%5D=cf_78&amp;group_by=status&amp;t%5B%5D=" TargetMode="External"/><Relationship Id="rId142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12-01&amp;v%5Bcreated_on%5D%5B%5D=2022-12-31&amp;f%5B%5D=status_id&amp;op%5Bstatus_id%5D=c&amp;f%5B%5D=cf_74&amp;op%5Bcf_74%5D=%3E%3C&amp;v%5Bcf_74%5D%5B%5D=2022-12-01&amp;v%5Bcf_74%5D%5B%5D=2022-12-31&amp;f%5B%5D=&amp;c%5B%5D=tracker&amp;c%5B%5D=status&amp;c%5B%5D=subject&amp;c%5B%5D=assigned_to&amp;c%5B%5D=spent_hours&amp;c%5B%5D=done_ratio&amp;c%5B%5D=cf_78&amp;group_by=status&amp;t%5B%5D=" TargetMode="External"/><Relationship Id="rId163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05-01&amp;v%5Bcreated_on%5D%5B%5D=2023-05-31&amp;f%5B%5D=&amp;c%5B%5D=tracker&amp;c%5B%5D=status&amp;c%5B%5D=subject&amp;c%5B%5D=assigned_to&amp;c%5B%5D=spent_hours&amp;c%5B%5D=done_ratio&amp;c%5B%5D=cf_78&amp;group_by=status&amp;t%5B%5D=" TargetMode="External"/><Relationship Id="rId184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3-06-01&amp;v%5Bcf_74%5D%5B%5D=2023-06-30&amp;f%5B%5D=created_on&amp;op%5Bcreated_on%5D=%3E%3D&amp;v%5Bcreated_on%5D%5B%5D=2023-07-01&amp;f%5B%5D=&amp;c%5B%5D=tracker&amp;c%5B%5D=status&amp;c%5B%5D=subject&amp;c%5B%5D=assigned_to&amp;c%5B%5D=created_on&amp;c%5B%5D=cf_74&amp;group_by=status&amp;t%5B%5D=" TargetMode="External"/><Relationship Id="rId219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4-07-01&amp;v%5Bcf_74%5D%5B%5D=2024-07-31&amp;f%5B%5D=&amp;c%5B%5D=tracker&amp;c%5B%5D=status&amp;c%5B%5D=subject&amp;c%5B%5D=assigned_to&amp;c%5B%5D=spent_hours&amp;c%5B%5D=done_ratio&amp;c%5B%5D=cf_78&amp;group_by=status&amp;t%5B%5D=" TargetMode="External"/><Relationship Id="rId230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4-08-01&amp;v%5Bcreated_on%5D%5B%5D=2024-08-31&amp;f%5B%5D=&amp;c%5B%5D=tracker&amp;c%5B%5D=status&amp;c%5B%5D=subject&amp;c%5B%5D=assigned_to&amp;c%5B%5D=spent_hours&amp;c%5B%5D=done_ratio&amp;c%5B%5D=cf_78&amp;group_by=status&amp;t%5B%5D=" TargetMode="External"/><Relationship Id="rId251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4-08-01&amp;v%5Bcf_74%5D%5B%5D=2024-08-31&amp;f%5B%5D=created_on&amp;op%5Bcreated_on%5D=%3E%3D&amp;v%5Bcreated_on%5D%5B%5D=2024-09-01&amp;f%5B%5D=&amp;c%5B%5D=tracker&amp;c%5B%5D=status&amp;c%5B%5D=subject&amp;c%5B%5D=assigned_to&amp;c%5B%5D=created_on&amp;c%5B%5D=cf_74&amp;group_by=status&amp;t%5B%5D=" TargetMode="External"/><Relationship Id="rId25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1-05-01&amp;v%5Bcf_74%5D%5B%5D=2021-05-31&amp;f%5B%5D=created_on&amp;op%5Bcreated_on%5D=%3E%3D&amp;v%5Bcreated_on%5D%5B%5D=2021-06-01&amp;f%5B%5D=&amp;c%5B%5D=tracker&amp;c%5B%5D=status&amp;c%5B%5D=subject&amp;c%5B%5D=assigned_to&amp;c%5B%5D=created_on&amp;c%5B%5D=cf_74&amp;group_by=status&amp;t%5B%5D=" TargetMode="External"/><Relationship Id="rId46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1-09-01&amp;v%5Bcf_74%5D%5B%5D=2021-09-30&amp;f%5B%5D=created_on&amp;op%5Bcreated_on%5D=%3E%3C&amp;v%5Bcreated_on%5D%5B%5D=2021-01-01&amp;v%5Bcreated_on%5D%5B%5D=2021-08-31&amp;f%5B%5D=&amp;c%5B%5D=tracker&amp;c%5B%5D=status&amp;c%5B%5D=subject&amp;c%5B%5D=assigned_to&amp;c%5B%5D=created_on&amp;c%5B%5D=cf_74&amp;group_by=&amp;t%5B%5D=" TargetMode="External"/><Relationship Id="rId67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2-02-01&amp;v%5Bcf_74%5D%5B%5D=2022-02-28&amp;f%5B%5D=&amp;c%5B%5D=tracker&amp;c%5B%5D=status&amp;c%5B%5D=subject&amp;c%5B%5D=assigned_to&amp;c%5B%5D=spent_hours&amp;c%5B%5D=done_ratio&amp;c%5B%5D=cf_78&amp;group_by=status&amp;t%5B%5D=" TargetMode="External"/><Relationship Id="rId272" Type="http://schemas.openxmlformats.org/officeDocument/2006/relationships/printerSettings" Target="../printerSettings/printerSettings1.bin"/><Relationship Id="rId88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06-01&amp;v%5Bcreated_on%5D%5B%5D=2021-06-30&amp;f%5B%5D=&amp;c%5B%5D=tracker&amp;c%5B%5D=status&amp;c%5B%5D=subject&amp;c%5B%5D=assigned_to&amp;c%5B%5D=created_on&amp;group_by=status&amp;t%5B%5D=" TargetMode="External"/><Relationship Id="rId111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06-01&amp;v%5Bcreated_on%5D%5B%5D=2022-06-30&amp;f%5B%5D=&amp;c%5B%5D=tracker&amp;c%5B%5D=status&amp;c%5B%5D=subject&amp;c%5B%5D=assigned_to&amp;c%5B%5D=created_on&amp;group_by=status&amp;t%5B%5D=" TargetMode="External"/><Relationship Id="rId132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08-01&amp;v%5Bcreated_on%5D%5B%5D=2022-08-31&amp;f%5B%5D=&amp;c%5B%5D=tracker&amp;c%5B%5D=status&amp;c%5B%5D=subject&amp;c%5B%5D=assigned_to&amp;c%5B%5D=created_on&amp;group_by=status&amp;t%5B%5D=" TargetMode="External"/><Relationship Id="rId153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08-01&amp;v%5Bcf_74%5D%5B%5D=2023-08-31&amp;f%5B%5D=&amp;c%5B%5D=tracker&amp;c%5B%5D=status&amp;c%5B%5D=subject&amp;c%5B%5D=assigned_to&amp;c%5B%5D=spent_hours&amp;c%5B%5D=done_ratio&amp;c%5B%5D=cf_78&amp;group_by=status&amp;t%5B%5D=" TargetMode="External"/><Relationship Id="rId174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07-01&amp;v%5Bcreated_on%5D%5B%5D=2023-07-31&amp;f%5B%5D=status_id&amp;op%5Bstatus_id%5D=c&amp;f%5B%5D=cf_74&amp;op%5Bcf_74%5D=%3E%3C&amp;v%5Bcf_74%5D%5B%5D=2023-07-01&amp;v%5Bcf_74%5D%5B%5D=2023-07-31&amp;f%5B%5D=&amp;c%5B%5D=tracker&amp;c%5B%5D=status&amp;c%5B%5D=subject&amp;c%5B%5D=assigned_to&amp;c%5B%5D=spent_hours&amp;c%5B%5D=done_ratio&amp;c%5B%5D=cf_78&amp;group_by=status&amp;t%5B%5D=" TargetMode="External"/><Relationship Id="rId195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06-01&amp;v%5Bcreated_on%5D%5B%5D=2023-06-30&amp;f%5B%5D=&amp;c%5B%5D=tracker&amp;c%5B%5D=status&amp;c%5B%5D=subject&amp;c%5B%5D=assigned_to&amp;c%5B%5D=created_on&amp;group_by=status&amp;t%5B%5D=" TargetMode="External"/><Relationship Id="rId209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3-09-01&amp;v%5Bcf_74%5D%5B%5D=2023-09-30&amp;f%5B%5D=created_on&amp;op%5Bcreated_on%5D=%3E%3C&amp;v%5Bcreated_on%5D%5B%5D=2021-01-01&amp;v%5Bcreated_on%5D%5B%5D=2023-08-31&amp;f%5B%5D=&amp;c%5B%5D=tracker&amp;c%5B%5D=status&amp;c%5B%5D=subject&amp;c%5B%5D=assigned_to&amp;c%5B%5D=created_on&amp;c%5B%5D=cf_74&amp;group_by=&amp;t%5B%5D=" TargetMode="External"/><Relationship Id="rId220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4-08-01&amp;v%5Bcf_74%5D%5B%5D=2024-08-31&amp;f%5B%5D=&amp;c%5B%5D=tracker&amp;c%5B%5D=status&amp;c%5B%5D=subject&amp;c%5B%5D=assigned_to&amp;c%5B%5D=spent_hours&amp;c%5B%5D=done_ratio&amp;c%5B%5D=cf_78&amp;group_by=status&amp;t%5B%5D=" TargetMode="External"/><Relationship Id="rId241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4-09-01&amp;v%5Bcreated_on%5D%5B%5D=2024-09-30&amp;f%5B%5D=status_id&amp;op%5Bstatus_id%5D=c&amp;f%5B%5D=cf_74&amp;op%5Bcf_74%5D=%3E%3C&amp;v%5Bcf_74%5D%5B%5D=2024-09-01&amp;v%5Bcf_74%5D%5B%5D=2024-09-30&amp;f%5B%5D=&amp;c%5B%5D=tracker&amp;c%5B%5D=status&amp;c%5B%5D=subject&amp;c%5B%5D=assigned_to&amp;c%5B%5D=spent_hours&amp;c%5B%5D=done_ratio&amp;c%5B%5D=cf_78&amp;group_by=status&amp;t%5B%5D=" TargetMode="External"/><Relationship Id="rId15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1-03-01&amp;v%5Bcf_74%5D%5B%5D=2021-03-31&amp;f%5B%5D=created_on&amp;op%5Bcreated_on%5D=%3E%3D&amp;v%5Bcreated_on%5D%5B%5D=2021-04-01&amp;f%5B%5D=&amp;c%5B%5D=tracker&amp;c%5B%5D=status&amp;c%5B%5D=subject&amp;c%5B%5D=assigned_to&amp;c%5B%5D=created_on&amp;c%5B%5D=cf_74&amp;group_by=status&amp;t%5B%5D=" TargetMode="External"/><Relationship Id="rId36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1-07-01&amp;v%5Bcf_74%5D%5B%5D=2021-07-31&amp;f%5B%5D=created_on&amp;op%5Bcreated_on%5D=%3E%3C&amp;v%5Bcreated_on%5D%5B%5D=2021-01-01&amp;v%5Bcreated_on%5D%5B%5D=2021-06-30&amp;f%5B%5D=&amp;c%5B%5D=tracker&amp;c%5B%5D=status&amp;c%5B%5D=subject&amp;c%5B%5D=assigned_to&amp;c%5B%5D=created_on&amp;c%5B%5D=cf_74&amp;group_by=&amp;t%5B%5D=" TargetMode="External"/><Relationship Id="rId57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12-01&amp;v%5Bcf_74%5D%5B%5D=2021-12-31&amp;f%5B%5D=&amp;c%5B%5D=tracker&amp;c%5B%5D=status&amp;c%5B%5D=subject&amp;c%5B%5D=assigned_to&amp;c%5B%5D=spent_hours&amp;c%5B%5D=done_ratio&amp;c%5B%5D=cf_78&amp;group_by=status&amp;t%5B%5D=" TargetMode="External"/><Relationship Id="rId262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3-12-01&amp;v%5Bcf_74%5D%5B%5D=2023-12-31&amp;f%5B%5D=created_on&amp;op%5Bcreated_on%5D=%3E%3C&amp;v%5Bcreated_on%5D%5B%5D=2021-01-01&amp;v%5Bcreated_on%5D%5B%5D=2023-11-30&amp;f%5B%5D=&amp;c%5B%5D=tracker&amp;c%5B%5D=status&amp;c%5B%5D=subject&amp;c%5B%5D=assigned_to&amp;c%5B%5D=created_on&amp;c%5B%5D=cf_74&amp;group_by=&amp;t%5B%5D=" TargetMode="External"/><Relationship Id="rId78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2-04-01&amp;v%5Bcf_74%5D%5B%5D=2022-04-30&amp;f%5B%5D=created_on&amp;op%5Bcreated_on%5D=%3E%3C&amp;v%5Bcreated_on%5D%5B%5D=2021-01-01&amp;v%5Bcreated_on%5D%5B%5D=2022-03-31&amp;f%5B%5D=&amp;c%5B%5D=tracker&amp;c%5B%5D=status&amp;c%5B%5D=subject&amp;c%5B%5D=assigned_to&amp;c%5B%5D=created_on&amp;c%5B%5D=cf_74&amp;group_by=&amp;t%5B%5D=" TargetMode="External"/><Relationship Id="rId99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2-07-01&amp;v%5Bcf_74%5D%5B%5D=2022-07-31&amp;f%5B%5D=&amp;c%5B%5D=tracker&amp;c%5B%5D=status&amp;c%5B%5D=subject&amp;c%5B%5D=assigned_to&amp;c%5B%5D=spent_hours&amp;c%5B%5D=done_ratio&amp;c%5B%5D=cf_78&amp;group_by=status&amp;t%5B%5D=" TargetMode="External"/><Relationship Id="rId101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06-01&amp;v%5Bcreated_on%5D%5B%5D=2022-06-30&amp;f%5B%5D=&amp;c%5B%5D=tracker&amp;c%5B%5D=status&amp;c%5B%5D=subject&amp;c%5B%5D=assigned_to&amp;c%5B%5D=spent_hours&amp;c%5B%5D=done_ratio&amp;c%5B%5D=cf_78&amp;group_by=status&amp;t%5B%5D=" TargetMode="External"/><Relationship Id="rId122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10-01&amp;v%5Bcreated_on%5D%5B%5D=2022-10-31&amp;f%5B%5D=&amp;c%5B%5D=tracker&amp;c%5B%5D=status&amp;c%5B%5D=subject&amp;c%5B%5D=assigned_to&amp;c%5B%5D=spent_hours&amp;c%5B%5D=done_ratio&amp;c%5B%5D=cf_78&amp;group_by=status&amp;t%5B%5D=" TargetMode="External"/><Relationship Id="rId143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2-12-01&amp;v%5Bcf_74%5D%5B%5D=2022-12-31&amp;f%5B%5D=created_on&amp;op%5Bcreated_on%5D=%3E%3D&amp;v%5Bcreated_on%5D%5B%5D=2023-01-01&amp;f%5B%5D=&amp;c%5B%5D=tracker&amp;c%5B%5D=status&amp;c%5B%5D=subject&amp;c%5B%5D=assigned_to&amp;c%5B%5D=created_on&amp;c%5B%5D=cf_74&amp;group_by=status&amp;t%5B%5D=" TargetMode="External"/><Relationship Id="rId164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04-01&amp;v%5Bcreated_on%5D%5B%5D=2023-04-30&amp;f%5B%5D=&amp;c%5B%5D=tracker&amp;c%5B%5D=status&amp;c%5B%5D=subject&amp;c%5B%5D=assigned_to&amp;c%5B%5D=spent_hours&amp;c%5B%5D=done_ratio&amp;c%5B%5D=cf_78&amp;group_by=status&amp;t%5B%5D=" TargetMode="External"/><Relationship Id="rId185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3-07-01&amp;v%5Bcf_74%5D%5B%5D=2023-07-31&amp;f%5B%5D=created_on&amp;op%5Bcreated_on%5D=%3E%3D&amp;v%5Bcreated_on%5D%5B%5D=2023-08-01&amp;f%5B%5D=&amp;c%5B%5D=tracker&amp;c%5B%5D=status&amp;c%5B%5D=subject&amp;c%5B%5D=assigned_to&amp;c%5B%5D=created_on&amp;c%5B%5D=cf_74&amp;group_by=status&amp;t%5B%5D=" TargetMode="External"/><Relationship Id="rId9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02-01&amp;v%5Bcreated_on%5D%5B%5D=2021-02-28&amp;f%5B%5D=status_id&amp;op%5Bstatus_id%5D=c&amp;f%5B%5D=cf_74&amp;op%5Bcf_74%5D=%3E%3C&amp;v%5Bcf_74%5D%5B%5D=2021-02-01&amp;v%5Bcf_74%5D%5B%5D=2021-02-28&amp;f%5B%5D=&amp;c%5B%5D=tracker&amp;c%5B%5D=status&amp;c%5B%5D=subject&amp;c%5B%5D=assigned_to&amp;c%5B%5D=spent_hours&amp;c%5B%5D=done_ratio&amp;c%5B%5D=cf_78&amp;group_by=status&amp;t%5B%5D=" TargetMode="External"/><Relationship Id="rId210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3-10-01&amp;v%5Bcf_74%5D%5B%5D=2023-10-31&amp;f%5B%5D=created_on&amp;op%5Bcreated_on%5D=%3E%3C&amp;v%5Bcreated_on%5D%5B%5D=2021-01-01&amp;v%5Bcreated_on%5D%5B%5D=2023-09-30&amp;f%5B%5D=&amp;c%5B%5D=tracker&amp;c%5B%5D=status&amp;c%5B%5D=subject&amp;c%5B%5D=assigned_to&amp;c%5B%5D=created_on&amp;c%5B%5D=cf_74&amp;group_by=&amp;t%5B%5D=" TargetMode="External"/><Relationship Id="rId26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1-05-01&amp;v%5Bcf_74%5D%5B%5D=2021-05-31&amp;f%5B%5D=created_on&amp;op%5Bcreated_on%5D=%3E%3C&amp;v%5Bcreated_on%5D%5B%5D=2021-01-01&amp;v%5Bcreated_on%5D%5B%5D=2021-04-30&amp;f%5B%5D=&amp;c%5B%5D=tracker&amp;c%5B%5D=status&amp;c%5B%5D=subject&amp;c%5B%5D=assigned_to&amp;c%5B%5D=created_on&amp;c%5B%5D=cf_74&amp;group_by=&amp;t%5B%5D=" TargetMode="External"/><Relationship Id="rId231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4-09-01&amp;v%5Bcreated_on%5D%5B%5D=2024-09-30&amp;f%5B%5D=&amp;c%5B%5D=tracker&amp;c%5B%5D=status&amp;c%5B%5D=subject&amp;c%5B%5D=assigned_to&amp;c%5B%5D=spent_hours&amp;c%5B%5D=done_ratio&amp;c%5B%5D=cf_78&amp;group_by=status&amp;t%5B%5D=" TargetMode="External"/><Relationship Id="rId252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12-01&amp;v%5Bcreated_on%5D%5B%5D=2023-12-31&amp;f%5B%5D=&amp;c%5B%5D=tracker&amp;c%5B%5D=status&amp;c%5B%5D=subject&amp;c%5B%5D=assigned_to&amp;c%5B%5D=created_on&amp;group_by=status&amp;t%5B%5D=" TargetMode="External"/><Relationship Id="rId47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10-01&amp;v%5Bcf_74%5D%5B%5D=2021-10-31&amp;f%5B%5D=&amp;c%5B%5D=tracker&amp;c%5B%5D=status&amp;c%5B%5D=subject&amp;c%5B%5D=assigned_to&amp;c%5B%5D=spent_hours&amp;c%5B%5D=done_ratio&amp;c%5B%5D=cf_78&amp;group_by=status&amp;t%5B%5D=" TargetMode="External"/><Relationship Id="rId68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02-01&amp;v%5Bcreated_on%5D%5B%5D=2022-02-28&amp;f%5B%5D=&amp;c%5B%5D=tracker&amp;c%5B%5D=status&amp;c%5B%5D=subject&amp;c%5B%5D=assigned_to&amp;c%5B%5D=spent_hours&amp;c%5B%5D=done_ratio&amp;c%5B%5D=cf_78&amp;group_by=status&amp;t%5B%5D=" TargetMode="External"/><Relationship Id="rId89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05-01&amp;v%5Bcreated_on%5D%5B%5D=2021-05-31&amp;f%5B%5D=&amp;c%5B%5D=tracker&amp;c%5B%5D=status&amp;c%5B%5D=subject&amp;c%5B%5D=assigned_to&amp;c%5B%5D=created_on&amp;group_by=status&amp;t%5B%5D=" TargetMode="External"/><Relationship Id="rId112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07-01&amp;v%5Bcreated_on%5D%5B%5D=2022-07-31&amp;f%5B%5D=&amp;c%5B%5D=tracker&amp;c%5B%5D=status&amp;c%5B%5D=subject&amp;c%5B%5D=assigned_to&amp;c%5B%5D=created_on&amp;group_by=status&amp;t%5B%5D=" TargetMode="External"/><Relationship Id="rId133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09-01&amp;v%5Bcreated_on%5D%5B%5D=2022-09-30&amp;f%5B%5D=&amp;c%5B%5D=tracker&amp;c%5B%5D=status&amp;c%5B%5D=subject&amp;c%5B%5D=assigned_to&amp;c%5B%5D=created_on&amp;group_by=status&amp;t%5B%5D=" TargetMode="External"/><Relationship Id="rId154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09-01&amp;v%5Bcf_74%5D%5B%5D=2023-09-30&amp;f%5B%5D=&amp;c%5B%5D=tracker&amp;c%5B%5D=status&amp;c%5B%5D=subject&amp;c%5B%5D=assigned_to&amp;c%5B%5D=spent_hours&amp;c%5B%5D=done_ratio&amp;c%5B%5D=cf_78&amp;group_by=status&amp;t%5B%5D=" TargetMode="External"/><Relationship Id="rId175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08-01&amp;v%5Bcreated_on%5D%5B%5D=2023-08-31&amp;f%5B%5D=status_id&amp;op%5Bstatus_id%5D=c&amp;f%5B%5D=cf_74&amp;op%5Bcf_74%5D=%3E%3C&amp;v%5Bcf_74%5D%5B%5D=2023-08-01&amp;v%5Bcf_74%5D%5B%5D=2023-08-31&amp;f%5B%5D=&amp;c%5B%5D=tracker&amp;c%5B%5D=status&amp;c%5B%5D=subject&amp;c%5B%5D=assigned_to&amp;c%5B%5D=spent_hours&amp;c%5B%5D=done_ratio&amp;c%5B%5D=cf_78&amp;group_by=status&amp;t%5B%5D=" TargetMode="External"/><Relationship Id="rId196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07-01&amp;v%5Bcreated_on%5D%5B%5D=2023-07-31&amp;f%5B%5D=&amp;c%5B%5D=tracker&amp;c%5B%5D=status&amp;c%5B%5D=subject&amp;c%5B%5D=assigned_to&amp;c%5B%5D=created_on&amp;group_by=status&amp;t%5B%5D=" TargetMode="External"/><Relationship Id="rId200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11-01&amp;v%5Bcreated_on%5D%5B%5D=2023-11-30&amp;f%5B%5D=&amp;c%5B%5D=tracker&amp;c%5B%5D=status&amp;c%5B%5D=subject&amp;c%5B%5D=assigned_to&amp;c%5B%5D=created_on&amp;group_by=status&amp;t%5B%5D=" TargetMode="External"/><Relationship Id="rId16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1-03-01&amp;v%5Bcf_74%5D%5B%5D=2021-03-31&amp;f%5B%5D=created_on&amp;op%5Bcreated_on%5D=%3E%3C&amp;v%5Bcreated_on%5D%5B%5D=2021-01-01&amp;v%5Bcreated_on%5D%5B%5D=2021-02-28&amp;f%5B%5D=&amp;c%5B%5D=tracker&amp;c%5B%5D=status&amp;c%5B%5D=subject&amp;c%5B%5D=assigned_to&amp;c%5B%5D=created_on&amp;c%5B%5D=cf_74&amp;group_by=&amp;t%5B%5D=" TargetMode="External"/><Relationship Id="rId221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4-09-01&amp;v%5Bcf_74%5D%5B%5D=2024-09-30&amp;f%5B%5D=&amp;c%5B%5D=tracker&amp;c%5B%5D=status&amp;c%5B%5D=subject&amp;c%5B%5D=assigned_to&amp;c%5B%5D=spent_hours&amp;c%5B%5D=done_ratio&amp;c%5B%5D=cf_78&amp;group_by=status&amp;t%5B%5D=" TargetMode="External"/><Relationship Id="rId242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3-11-01&amp;v%5Bcf_74%5D%5B%5D=2023-11-30&amp;f%5B%5D=created_on&amp;op%5Bcreated_on%5D=%3E%3D&amp;v%5Bcreated_on%5D%5B%5D=2023-12-01&amp;f%5B%5D=&amp;c%5B%5D=tracker&amp;c%5B%5D=status&amp;c%5B%5D=subject&amp;c%5B%5D=assigned_to&amp;c%5B%5D=created_on&amp;c%5B%5D=cf_74&amp;group_by=status&amp;t%5B%5D=" TargetMode="External"/><Relationship Id="rId263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4-01-01&amp;v%5Bcf_74%5D%5B%5D=2024-01-31&amp;f%5B%5D=created_on&amp;op%5Bcreated_on%5D=%3E%3C&amp;v%5Bcreated_on%5D%5B%5D=2021-01-01&amp;v%5Bcreated_on%5D%5B%5D=2023-12-31&amp;f%5B%5D=&amp;c%5B%5D=tracker&amp;c%5B%5D=status&amp;c%5B%5D=subject&amp;c%5B%5D=assigned_to&amp;c%5B%5D=created_on&amp;c%5B%5D=cf_74&amp;group_by=&amp;t%5B%5D=" TargetMode="External"/><Relationship Id="rId37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08-01&amp;v%5Bcf_74%5D%5B%5D=2021-08-30&amp;f%5B%5D=&amp;c%5B%5D=tracker&amp;c%5B%5D=status&amp;c%5B%5D=subject&amp;c%5B%5D=assigned_to&amp;c%5B%5D=spent_hours&amp;c%5B%5D=done_ratio&amp;c%5B%5D=cf_78&amp;group_by=status&amp;t%5B%5D=" TargetMode="External"/><Relationship Id="rId58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12-01&amp;v%5Bcreated_on%5D%5B%5D=2021-12-31&amp;f%5B%5D=&amp;c%5B%5D=tracker&amp;c%5B%5D=status&amp;c%5B%5D=subject&amp;c%5B%5D=assigned_to&amp;c%5B%5D=spent_hours&amp;c%5B%5D=done_ratio&amp;c%5B%5D=cf_78&amp;group_by=status&amp;t%5B%5D=" TargetMode="External"/><Relationship Id="rId79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03-01&amp;v%5Bcreated_on%5D%5B%5D=2022-03-31&amp;f%5B%5D=&amp;c%5B%5D=tracker&amp;c%5B%5D=status&amp;c%5B%5D=subject&amp;c%5B%5D=assigned_to&amp;c%5B%5D=created_on&amp;group_by=status&amp;t%5B%5D=" TargetMode="External"/><Relationship Id="rId102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07-01&amp;v%5Bcreated_on%5D%5B%5D=2022-07-31&amp;f%5B%5D=&amp;c%5B%5D=tracker&amp;c%5B%5D=status&amp;c%5B%5D=subject&amp;c%5B%5D=assigned_to&amp;c%5B%5D=spent_hours&amp;c%5B%5D=done_ratio&amp;c%5B%5D=cf_78&amp;group_by=status&amp;t%5B%5D=" TargetMode="External"/><Relationship Id="rId123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11-01&amp;v%5Bcreated_on%5D%5B%5D=2022-11-30&amp;f%5B%5D=&amp;c%5B%5D=tracker&amp;c%5B%5D=status&amp;c%5B%5D=subject&amp;c%5B%5D=assigned_to&amp;c%5B%5D=spent_hours&amp;c%5B%5D=done_ratio&amp;c%5B%5D=cf_78&amp;group_by=status&amp;t%5B%5D=" TargetMode="External"/><Relationship Id="rId144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12-01&amp;v%5Bcreated_on%5D%5B%5D=2022-12-31&amp;f%5B%5D=&amp;c%5B%5D=tracker&amp;c%5B%5D=status&amp;c%5B%5D=subject&amp;c%5B%5D=assigned_to&amp;c%5B%5D=created_on&amp;group_by=status&amp;t%5B%5D=" TargetMode="External"/><Relationship Id="rId90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04-01&amp;v%5Bcreated_on%5D%5B%5D=2021-04-30&amp;f%5B%5D=&amp;c%5B%5D=tracker&amp;c%5B%5D=status&amp;c%5B%5D=subject&amp;c%5B%5D=assigned_to&amp;c%5B%5D=created_on&amp;group_by=status&amp;t%5B%5D=" TargetMode="External"/><Relationship Id="rId165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03-01&amp;v%5Bcreated_on%5D%5B%5D=2023-03-31&amp;f%5B%5D=&amp;c%5B%5D=tracker&amp;c%5B%5D=status&amp;c%5B%5D=subject&amp;c%5B%5D=assigned_to&amp;c%5B%5D=spent_hours&amp;c%5B%5D=done_ratio&amp;c%5B%5D=cf_78&amp;group_by=status&amp;t%5B%5D=" TargetMode="External"/><Relationship Id="rId186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3-08-01&amp;v%5Bcf_74%5D%5B%5D=2023-08-31&amp;f%5B%5D=created_on&amp;op%5Bcreated_on%5D=%3E%3D&amp;v%5Bcreated_on%5D%5B%5D=2023-09-01&amp;f%5B%5D=&amp;c%5B%5D=tracker&amp;c%5B%5D=status&amp;c%5B%5D=subject&amp;c%5B%5D=assigned_to&amp;c%5B%5D=created_on&amp;c%5B%5D=cf_74&amp;group_by=status&amp;t%5B%5D=" TargetMode="External"/><Relationship Id="rId211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3-11-01&amp;v%5Bcf_74%5D%5B%5D=2023-11-30&amp;f%5B%5D=created_on&amp;op%5Bcreated_on%5D=%3E%3C&amp;v%5Bcreated_on%5D%5B%5D=2021-01-01&amp;v%5Bcreated_on%5D%5B%5D=2023-10-31&amp;f%5B%5D=&amp;c%5B%5D=tracker&amp;c%5B%5D=status&amp;c%5B%5D=subject&amp;c%5B%5D=assigned_to&amp;c%5B%5D=created_on&amp;c%5B%5D=cf_74&amp;group_by=&amp;t%5B%5D=" TargetMode="External"/><Relationship Id="rId232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12-01&amp;v%5Bcreated_on%5D%5B%5D=2023-12-31&amp;f%5B%5D=status_id&amp;op%5Bstatus_id%5D=c&amp;f%5B%5D=cf_74&amp;op%5Bcf_74%5D=%3E%3C&amp;v%5Bcf_74%5D%5B%5D=2023-12-01&amp;v%5Bcf_74%5D%5B%5D=2023-12-31&amp;f%5B%5D=&amp;c%5B%5D=tracker&amp;c%5B%5D=status&amp;c%5B%5D=subject&amp;c%5B%5D=assigned_to&amp;c%5B%5D=spent_hours&amp;c%5B%5D=done_ratio&amp;c%5B%5D=cf_78&amp;group_by=status&amp;t%5B%5D=" TargetMode="External"/><Relationship Id="rId253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4-01-01&amp;v%5Bcreated_on%5D%5B%5D=2024-01-31&amp;f%5B%5D=&amp;c%5B%5D=tracker&amp;c%5B%5D=status&amp;c%5B%5D=subject&amp;c%5B%5D=assigned_to&amp;c%5B%5D=created_on&amp;group_by=status&amp;t%5B%5D=" TargetMode="External"/><Relationship Id="rId27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06-01&amp;v%5Bcf_74%5D%5B%5D=2021-06-30&amp;f%5B%5D=&amp;c%5B%5D=tracker&amp;c%5B%5D=status&amp;c%5B%5D=subject&amp;c%5B%5D=assigned_to&amp;c%5B%5D=spent_hours&amp;c%5B%5D=done_ratio&amp;c%5B%5D=cf_78&amp;group_by=status&amp;t%5B%5D=" TargetMode="External"/><Relationship Id="rId48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10-01&amp;v%5Bcreated_on%5D%5B%5D=2021-10-31&amp;f%5B%5D=&amp;c%5B%5D=tracker&amp;c%5B%5D=status&amp;c%5B%5D=subject&amp;c%5B%5D=assigned_to&amp;c%5B%5D=spent_hours&amp;c%5B%5D=done_ratio&amp;c%5B%5D=cf_78&amp;group_by=status&amp;t%5B%5D=" TargetMode="External"/><Relationship Id="rId69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02-01&amp;v%5Bcreated_on%5D%5B%5D=2022-02-28&amp;f%5B%5D=status_id&amp;op%5Bstatus_id%5D=c&amp;f%5B%5D=cf_74&amp;op%5Bcf_74%5D=%3E%3C&amp;v%5Bcf_74%5D%5B%5D=2022-02-01&amp;v%5Bcf_74%5D%5B%5D=2022-02-28&amp;f%5B%5D=&amp;c%5B%5D=tracker&amp;c%5B%5D=status&amp;c%5B%5D=subject&amp;c%5B%5D=assigned_to&amp;c%5B%5D=spent_hours&amp;c%5B%5D=done_ratio&amp;c%5B%5D=cf_78&amp;group_by=status&amp;t%5B%5D=" TargetMode="External"/><Relationship Id="rId113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2-05-01&amp;v%5Bcf_74%5D%5B%5D=2022-05-31&amp;f%5B%5D=created_on&amp;op%5Bcreated_on%5D=%3E%3C&amp;v%5Bcreated_on%5D%5B%5D=2021-01-01&amp;v%5Bcreated_on%5D%5B%5D=2022-04-30&amp;f%5B%5D=&amp;c%5B%5D=tracker&amp;c%5B%5D=status&amp;c%5B%5D=subject&amp;c%5B%5D=assigned_to&amp;c%5B%5D=created_on&amp;c%5B%5D=cf_74&amp;group_by=&amp;t%5B%5D=" TargetMode="External"/><Relationship Id="rId134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10-01&amp;v%5Bcreated_on%5D%5B%5D=2022-10-31&amp;f%5B%5D=&amp;c%5B%5D=tracker&amp;c%5B%5D=status&amp;c%5B%5D=subject&amp;c%5B%5D=assigned_to&amp;c%5B%5D=created_on&amp;group_by=status&amp;t%5B%5D=" TargetMode="External"/><Relationship Id="rId80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02-01&amp;v%5Bcreated_on%5D%5B%5D=2022-02-28&amp;f%5B%5D=&amp;c%5B%5D=tracker&amp;c%5B%5D=status&amp;c%5B%5D=subject&amp;c%5B%5D=assigned_to&amp;c%5B%5D=created_on&amp;group_by=status&amp;t%5B%5D=" TargetMode="External"/><Relationship Id="rId155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10-01&amp;v%5Bcf_74%5D%5B%5D=2023-10-31&amp;f%5B%5D=&amp;c%5B%5D=tracker&amp;c%5B%5D=status&amp;c%5B%5D=subject&amp;c%5B%5D=assigned_to&amp;c%5B%5D=spent_hours&amp;c%5B%5D=done_ratio&amp;c%5B%5D=cf_78&amp;group_by=status&amp;t%5B%5D=" TargetMode="External"/><Relationship Id="rId176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09-01&amp;v%5Bcreated_on%5D%5B%5D=2023-09-30&amp;f%5B%5D=status_id&amp;op%5Bstatus_id%5D=c&amp;f%5B%5D=cf_74&amp;op%5Bcf_74%5D=%3E%3C&amp;v%5Bcf_74%5D%5B%5D=2023-09-01&amp;v%5Bcf_74%5D%5B%5D=2023-09-30&amp;f%5B%5D=&amp;c%5B%5D=tracker&amp;c%5B%5D=status&amp;c%5B%5D=subject&amp;c%5B%5D=assigned_to&amp;c%5B%5D=spent_hours&amp;c%5B%5D=done_ratio&amp;c%5B%5D=cf_78&amp;group_by=status&amp;t%5B%5D=" TargetMode="External"/><Relationship Id="rId197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08-01&amp;v%5Bcreated_on%5D%5B%5D=2023-08-31&amp;f%5B%5D=&amp;c%5B%5D=tracker&amp;c%5B%5D=status&amp;c%5B%5D=subject&amp;c%5B%5D=assigned_to&amp;c%5B%5D=created_on&amp;group_by=status&amp;t%5B%5D=" TargetMode="External"/><Relationship Id="rId201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3-01-01&amp;v%5Bcf_74%5D%5B%5D=2023-01-31&amp;f%5B%5D=created_on&amp;op%5Bcreated_on%5D=%3E%3C&amp;v%5Bcreated_on%5D%5B%5D=2021-01-01&amp;v%5Bcreated_on%5D%5B%5D=2022-12-31&amp;f%5B%5D=&amp;c%5B%5D=tracker&amp;c%5B%5D=status&amp;c%5B%5D=subject&amp;c%5B%5D=assigned_to&amp;c%5B%5D=created_on&amp;c%5B%5D=cf_74&amp;group_by=&amp;t%5B%5D=" TargetMode="External"/><Relationship Id="rId222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12-01&amp;v%5Bcreated_on%5D%5B%5D=2023-12-31&amp;f%5B%5D=&amp;c%5B%5D=tracker&amp;c%5B%5D=status&amp;c%5B%5D=subject&amp;c%5B%5D=assigned_to&amp;c%5B%5D=spent_hours&amp;c%5B%5D=done_ratio&amp;c%5B%5D=cf_78&amp;group_by=status&amp;t%5B%5D=" TargetMode="External"/><Relationship Id="rId243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4-12-01&amp;v%5Bcf_74%5D%5B%5D=2023-12-31&amp;f%5B%5D=created_on&amp;op%5Bcreated_on%5D=%3E%3D&amp;v%5Bcreated_on%5D%5B%5D=2024-01-01&amp;f%5B%5D=&amp;c%5B%5D=tracker&amp;c%5B%5D=status&amp;c%5B%5D=subject&amp;c%5B%5D=assigned_to&amp;c%5B%5D=created_on&amp;c%5B%5D=cf_74&amp;group_by=status&amp;t%5B%5D=" TargetMode="External"/><Relationship Id="rId264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4-02-01&amp;v%5Bcf_74%5D%5B%5D=2024-02-29&amp;f%5B%5D=created_on&amp;op%5Bcreated_on%5D=%3E%3C&amp;v%5Bcreated_on%5D%5B%5D=2021-01-01&amp;v%5Bcreated_on%5D%5B%5D=2024-01-31&amp;f%5B%5D=&amp;c%5B%5D=tracker&amp;c%5B%5D=status&amp;c%5B%5D=subject&amp;c%5B%5D=assigned_to&amp;c%5B%5D=created_on&amp;c%5B%5D=cf_74&amp;group_by=&amp;t%5B%5D=" TargetMode="External"/><Relationship Id="rId17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04-01&amp;v%5Bcf_74%5D%5B%5D=2021-04-30&amp;f%5B%5D=&amp;c%5B%5D=tracker&amp;c%5B%5D=status&amp;c%5B%5D=subject&amp;c%5B%5D=assigned_to&amp;c%5B%5D=spent_hours&amp;c%5B%5D=done_ratio&amp;c%5B%5D=cf_78&amp;group_by=status&amp;t%5B%5D=" TargetMode="External"/><Relationship Id="rId38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08-01&amp;v%5Bcreated_on%5D%5B%5D=2021-08-31&amp;f%5B%5D=&amp;c%5B%5D=tracker&amp;c%5B%5D=status&amp;c%5B%5D=subject&amp;c%5B%5D=assigned_to&amp;c%5B%5D=spent_hours&amp;c%5B%5D=done_ratio&amp;c%5B%5D=cf_78&amp;group_by=status&amp;t%5B%5D=" TargetMode="External"/><Relationship Id="rId59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12-01&amp;v%5Bcreated_on%5D%5B%5D=2021-12-31&amp;f%5B%5D=status_id&amp;op%5Bstatus_id%5D=c&amp;f%5B%5D=cf_74&amp;op%5Bcf_74%5D=%3E%3C&amp;v%5Bcf_74%5D%5B%5D=2021-12-01&amp;v%5Bcf_74%5D%5B%5D=2021-12-31&amp;f%5B%5D=&amp;c%5B%5D=tracker&amp;c%5B%5D=status&amp;c%5B%5D=subject&amp;c%5B%5D=assigned_to&amp;c%5B%5D=spent_hours&amp;c%5B%5D=done_ratio&amp;c%5B%5D=cf_78&amp;group_by=status&amp;t%5B%5D=" TargetMode="External"/><Relationship Id="rId103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05-01&amp;v%5Bcreated_on%5D%5B%5D=2022-05-31&amp;f%5B%5D=status_id&amp;op%5Bstatus_id%5D=c&amp;f%5B%5D=cf_74&amp;op%5Bcf_74%5D=%3E%3C&amp;v%5Bcf_74%5D%5B%5D=2022-05-01&amp;v%5Bcf_74%5D%5B%5D=2022-05-31&amp;f%5B%5D=&amp;c%5B%5D=tracker&amp;c%5B%5D=status&amp;c%5B%5D=subject&amp;c%5B%5D=assigned_to&amp;c%5B%5D=spent_hours&amp;c%5B%5D=done_ratio&amp;c%5B%5D=cf_78&amp;group_by=status&amp;t%5B%5D=" TargetMode="External"/><Relationship Id="rId124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08-01&amp;v%5Bcreated_on%5D%5B%5D=2022-08-31&amp;f%5B%5D=status_id&amp;op%5Bstatus_id%5D=c&amp;f%5B%5D=cf_74&amp;op%5Bcf_74%5D=%3E%3C&amp;v%5Bcf_74%5D%5B%5D=2022-08-01&amp;v%5Bcf_74%5D%5B%5D=2022-08-31&amp;f%5B%5D=&amp;c%5B%5D=tracker&amp;c%5B%5D=status&amp;c%5B%5D=subject&amp;c%5B%5D=assigned_to&amp;c%5B%5D=spent_hours&amp;c%5B%5D=done_ratio&amp;c%5B%5D=cf_78&amp;group_by=status&amp;t%5B%5D=" TargetMode="External"/><Relationship Id="rId70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2-02-01&amp;v%5Bcf_74%5D%5B%5D=2022-02-28&amp;f%5B%5D=created_on&amp;op%5Bcreated_on%5D=%3E%3D&amp;v%5Bcreated_on%5D%5B%5D=2022-03-01&amp;f%5B%5D=&amp;c%5B%5D=tracker&amp;c%5B%5D=status&amp;c%5B%5D=subject&amp;c%5B%5D=assigned_to&amp;c%5B%5D=created_on&amp;c%5B%5D=cf_74&amp;group_by=status&amp;t%5B%5D=" TargetMode="External"/><Relationship Id="rId91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03-01&amp;v%5Bcreated_on%5D%5B%5D=2021-03-31&amp;f%5B%5D=&amp;c%5B%5D=tracker&amp;c%5B%5D=status&amp;c%5B%5D=subject&amp;c%5B%5D=assigned_to&amp;c%5B%5D=created_on&amp;group_by=status&amp;t%5B%5D=" TargetMode="External"/><Relationship Id="rId145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2-12-01&amp;v%5Bcf_74%5D%5B%5D=2022-12-31&amp;f%5B%5D=created_on&amp;op%5Bcreated_on%5D=%3E%3C&amp;v%5Bcreated_on%5D%5B%5D=2021-01-01&amp;v%5Bcreated_on%5D%5B%5D=2022-11-30&amp;f%5B%5D=&amp;c%5B%5D=tracker&amp;c%5B%5D=status&amp;c%5B%5D=subject&amp;c%5B%5D=assigned_to&amp;c%5B%5D=created_on&amp;c%5B%5D=cf_74&amp;group_by=&amp;t%5B%5D=" TargetMode="External"/><Relationship Id="rId166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02-01&amp;v%5Bcreated_on%5D%5B%5D=2023-02-28&amp;f%5B%5D=&amp;c%5B%5D=tracker&amp;c%5B%5D=status&amp;c%5B%5D=subject&amp;c%5B%5D=assigned_to&amp;c%5B%5D=spent_hours&amp;c%5B%5D=done_ratio&amp;c%5B%5D=cf_78&amp;group_by=status&amp;t%5B%5D=" TargetMode="External"/><Relationship Id="rId187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3-09-01&amp;v%5Bcf_74%5D%5B%5D=2023-09-30&amp;f%5B%5D=created_on&amp;op%5Bcreated_on%5D=%3E%3D&amp;v%5Bcreated_on%5D%5B%5D=2023-10-01&amp;f%5B%5D=&amp;c%5B%5D=tracker&amp;c%5B%5D=status&amp;c%5B%5D=subject&amp;c%5B%5D=assigned_to&amp;c%5B%5D=created_on&amp;c%5B%5D=cf_74&amp;group_by=status&amp;t%5B%5D=" TargetMode="External"/><Relationship Id="rId1" Type="http://schemas.openxmlformats.org/officeDocument/2006/relationships/hyperlink" Target="https://gertiq.senado.gov.br/redmine/projects/projeto007/issues?utf8=%E2%9C%93&amp;set_filter=1&amp;sort=id%3Adesc&amp;f%5B%5D=status_id&amp;op%5Bstatus_id%5D=o&amp;f%5B%5D=created_on&amp;op%5Bcreated_on%5D=%3C%3D&amp;v%5Bcreated_on%5D%5B%5D=2020-12-31&amp;f%5B%5D=&amp;c%5B%5D=tracker&amp;c%5B%5D=status&amp;c%5B%5D=subject&amp;c%5B%5D=assigned_to&amp;c%5B%5D=spent_hours&amp;c%5B%5D=done_ratio&amp;c%5B%5D=cf_78&amp;group_by=status&amp;t%5B%5D=" TargetMode="External"/><Relationship Id="rId212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12-01&amp;v%5Bcf_74%5D%5B%5D=2023-12-31&amp;f%5B%5D=&amp;c%5B%5D=tracker&amp;c%5B%5D=status&amp;c%5B%5D=subject&amp;c%5B%5D=assigned_to&amp;c%5B%5D=spent_hours&amp;c%5B%5D=done_ratio&amp;c%5B%5D=cf_78&amp;group_by=status&amp;t%5B%5D=" TargetMode="External"/><Relationship Id="rId233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4-01-01&amp;v%5Bcreated_on%5D%5B%5D=2024-01-31&amp;f%5B%5D=status_id&amp;op%5Bstatus_id%5D=c&amp;f%5B%5D=cf_74&amp;op%5Bcf_74%5D=%3E%3C&amp;v%5Bcf_74%5D%5B%5D=2024-01-01&amp;v%5Bcf_74%5D%5B%5D=2024-01-31&amp;f%5B%5D=&amp;c%5B%5D=tracker&amp;c%5B%5D=status&amp;c%5B%5D=subject&amp;c%5B%5D=assigned_to&amp;c%5B%5D=spent_hours&amp;c%5B%5D=done_ratio&amp;c%5B%5D=cf_78&amp;group_by=status&amp;t%5B%5D=" TargetMode="External"/><Relationship Id="rId254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4-02-01&amp;v%5Bcreated_on%5D%5B%5D=2024-02-29&amp;f%5B%5D=&amp;c%5B%5D=tracker&amp;c%5B%5D=status&amp;c%5B%5D=subject&amp;c%5B%5D=assigned_to&amp;c%5B%5D=created_on&amp;group_by=status&amp;t%5B%5D=" TargetMode="External"/><Relationship Id="rId28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06-01&amp;v%5Bcreated_on%5D%5B%5D=2021-06-30&amp;f%5B%5D=&amp;c%5B%5D=tracker&amp;c%5B%5D=status&amp;c%5B%5D=subject&amp;c%5B%5D=assigned_to&amp;c%5B%5D=spent_hours&amp;c%5B%5D=done_ratio&amp;c%5B%5D=cf_78&amp;group_by=status&amp;t%5B%5D=" TargetMode="External"/><Relationship Id="rId49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10-01&amp;v%5Bcreated_on%5D%5B%5D=2021-10-31&amp;f%5B%5D=status_id&amp;op%5Bstatus_id%5D=c&amp;f%5B%5D=cf_74&amp;op%5Bcf_74%5D=%3E%3C&amp;v%5Bcf_74%5D%5B%5D=2021-10-01&amp;v%5Bcf_74%5D%5B%5D=2021-10-31&amp;f%5B%5D=&amp;c%5B%5D=tracker&amp;c%5B%5D=status&amp;c%5B%5D=subject&amp;c%5B%5D=assigned_to&amp;c%5B%5D=spent_hours&amp;c%5B%5D=done_ratio&amp;c%5B%5D=cf_78&amp;group_by=status&amp;t%5B%5D=" TargetMode="External"/><Relationship Id="rId114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2-06-01&amp;v%5Bcf_74%5D%5B%5D=2022-06-30&amp;f%5B%5D=created_on&amp;op%5Bcreated_on%5D=%3E%3C&amp;v%5Bcreated_on%5D%5B%5D=2021-01-01&amp;v%5Bcreated_on%5D%5B%5D=2022-05-31&amp;f%5B%5D=&amp;c%5B%5D=tracker&amp;c%5B%5D=status&amp;c%5B%5D=subject&amp;c%5B%5D=assigned_to&amp;c%5B%5D=created_on&amp;c%5B%5D=cf_74&amp;group_by=&amp;t%5B%5D=" TargetMode="External"/><Relationship Id="rId60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1-12-01&amp;v%5Bcf_74%5D%5B%5D=2021-12-31&amp;f%5B%5D=created_on&amp;op%5Bcreated_on%5D=%3E%3D&amp;v%5Bcreated_on%5D%5B%5D=2022-01-01&amp;f%5B%5D=&amp;c%5B%5D=tracker&amp;c%5B%5D=status&amp;c%5B%5D=subject&amp;c%5B%5D=assigned_to&amp;c%5B%5D=created_on&amp;c%5B%5D=cf_74&amp;group_by=status&amp;t%5B%5D=" TargetMode="External"/><Relationship Id="rId81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01-01&amp;v%5Bcreated_on%5D%5B%5D=2022-01-31&amp;f%5B%5D=&amp;c%5B%5D=tracker&amp;c%5B%5D=status&amp;c%5B%5D=subject&amp;c%5B%5D=assigned_to&amp;c%5B%5D=created_on&amp;group_by=status&amp;t%5B%5D=" TargetMode="External"/><Relationship Id="rId135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11-01&amp;v%5Bcreated_on%5D%5B%5D=2022-11-30&amp;f%5B%5D=&amp;c%5B%5D=tracker&amp;c%5B%5D=status&amp;c%5B%5D=subject&amp;c%5B%5D=assigned_to&amp;c%5B%5D=created_on&amp;group_by=status&amp;t%5B%5D=" TargetMode="External"/><Relationship Id="rId156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11-01&amp;v%5Bcf_74%5D%5B%5D=2023-11-30&amp;f%5B%5D=&amp;c%5B%5D=tracker&amp;c%5B%5D=status&amp;c%5B%5D=subject&amp;c%5B%5D=assigned_to&amp;c%5B%5D=spent_hours&amp;c%5B%5D=done_ratio&amp;c%5B%5D=cf_78&amp;group_by=status&amp;t%5B%5D=" TargetMode="External"/><Relationship Id="rId177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10-01&amp;v%5Bcreated_on%5D%5B%5D=2023-10-31&amp;f%5B%5D=status_id&amp;op%5Bstatus_id%5D=c&amp;f%5B%5D=cf_74&amp;op%5Bcf_74%5D=%3E%3C&amp;v%5Bcf_74%5D%5B%5D=2023-10-01&amp;v%5Bcf_74%5D%5B%5D=2023-10-31&amp;f%5B%5D=&amp;c%5B%5D=tracker&amp;c%5B%5D=status&amp;c%5B%5D=subject&amp;c%5B%5D=assigned_to&amp;c%5B%5D=spent_hours&amp;c%5B%5D=done_ratio&amp;c%5B%5D=cf_78&amp;group_by=status&amp;t%5B%5D=" TargetMode="External"/><Relationship Id="rId198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09-01&amp;v%5Bcreated_on%5D%5B%5D=2023-09-30&amp;f%5B%5D=&amp;c%5B%5D=tracker&amp;c%5B%5D=status&amp;c%5B%5D=subject&amp;c%5B%5D=assigned_to&amp;c%5B%5D=created_on&amp;group_by=status&amp;t%5B%5D=" TargetMode="External"/><Relationship Id="rId202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3-02-01&amp;v%5Bcf_74%5D%5B%5D=2023-02-28&amp;f%5B%5D=created_on&amp;op%5Bcreated_on%5D=%3E%3C&amp;v%5Bcreated_on%5D%5B%5D=2021-01-01&amp;v%5Bcreated_on%5D%5B%5D=2023-01-31&amp;f%5B%5D=&amp;c%5B%5D=tracker&amp;c%5B%5D=status&amp;c%5B%5D=subject&amp;c%5B%5D=assigned_to&amp;c%5B%5D=created_on&amp;c%5B%5D=cf_74&amp;group_by=&amp;t%5B%5D=" TargetMode="External"/><Relationship Id="rId223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4-01-01&amp;v%5Bcreated_on%5D%5B%5D=2024-01-31&amp;f%5B%5D=&amp;c%5B%5D=tracker&amp;c%5B%5D=status&amp;c%5B%5D=subject&amp;c%5B%5D=assigned_to&amp;c%5B%5D=spent_hours&amp;c%5B%5D=done_ratio&amp;c%5B%5D=cf_78&amp;group_by=status&amp;t%5B%5D=" TargetMode="External"/><Relationship Id="rId244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4-01-01&amp;v%5Bcf_74%5D%5B%5D=2024-01-31&amp;f%5B%5D=created_on&amp;op%5Bcreated_on%5D=%3E%3D&amp;v%5Bcreated_on%5D%5B%5D=2024-02-01&amp;f%5B%5D=&amp;c%5B%5D=tracker&amp;c%5B%5D=status&amp;c%5B%5D=subject&amp;c%5B%5D=assigned_to&amp;c%5B%5D=created_on&amp;c%5B%5D=cf_74&amp;group_by=status&amp;t%5B%5D=" TargetMode="External"/><Relationship Id="rId18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04-01&amp;v%5Bcreated_on%5D%5B%5D=2021-04-30&amp;f%5B%5D=&amp;c%5B%5D=tracker&amp;c%5B%5D=status&amp;c%5B%5D=subject&amp;c%5B%5D=assigned_to&amp;c%5B%5D=spent_hours&amp;c%5B%5D=done_ratio&amp;c%5B%5D=cf_78&amp;group_by=status&amp;t%5B%5D=" TargetMode="External"/><Relationship Id="rId39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08-01&amp;v%5Bcreated_on%5D%5B%5D=2021-08-31&amp;f%5B%5D=status_id&amp;op%5Bstatus_id%5D=c&amp;f%5B%5D=cf_74&amp;op%5Bcf_74%5D=%3E%3C&amp;v%5Bcf_74%5D%5B%5D=2021-08-01&amp;v%5Bcf_74%5D%5B%5D=2021-08-31&amp;f%5B%5D=&amp;c%5B%5D=tracker&amp;c%5B%5D=status&amp;c%5B%5D=subject&amp;c%5B%5D=assigned_to&amp;c%5B%5D=spent_hours&amp;c%5B%5D=done_ratio&amp;c%5B%5D=cf_78&amp;group_by=status&amp;t%5B%5D=" TargetMode="External"/><Relationship Id="rId265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4-03-01&amp;v%5Bcf_74%5D%5B%5D=2024-03-31&amp;f%5B%5D=created_on&amp;op%5Bcreated_on%5D=%3E%3C&amp;v%5Bcreated_on%5D%5B%5D=2021-01-01&amp;v%5Bcreated_on%5D%5B%5D=2024-02-29&amp;f%5B%5D=&amp;c%5B%5D=tracker&amp;c%5B%5D=status&amp;c%5B%5D=subject&amp;c%5B%5D=assigned_to&amp;c%5B%5D=created_on&amp;c%5B%5D=cf_74&amp;group_by=&amp;t%5B%5D=" TargetMode="External"/><Relationship Id="rId50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1-10-01&amp;v%5Bcf_74%5D%5B%5D=2021-10-31&amp;f%5B%5D=created_on&amp;op%5Bcreated_on%5D=%3E%3D&amp;v%5Bcreated_on%5D%5B%5D=2021-11-01&amp;f%5B%5D=&amp;c%5B%5D=tracker&amp;c%5B%5D=status&amp;c%5B%5D=subject&amp;c%5B%5D=assigned_to&amp;c%5B%5D=created_on&amp;c%5B%5D=cf_74&amp;group_by=status&amp;t%5B%5D=" TargetMode="External"/><Relationship Id="rId104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06-01&amp;v%5Bcreated_on%5D%5B%5D=2022-06-30&amp;f%5B%5D=status_id&amp;op%5Bstatus_id%5D=c&amp;f%5B%5D=cf_74&amp;op%5Bcf_74%5D=%3E%3C&amp;v%5Bcf_74%5D%5B%5D=2022-06-01&amp;v%5Bcf_74%5D%5B%5D=2022-06-30&amp;f%5B%5D=&amp;c%5B%5D=tracker&amp;c%5B%5D=status&amp;c%5B%5D=subject&amp;c%5B%5D=assigned_to&amp;c%5B%5D=spent_hours&amp;c%5B%5D=done_ratio&amp;c%5B%5D=cf_78&amp;group_by=status&amp;t%5B%5D=" TargetMode="External"/><Relationship Id="rId125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09-01&amp;v%5Bcreated_on%5D%5B%5D=2022-09-30&amp;f%5B%5D=status_id&amp;op%5Bstatus_id%5D=c&amp;f%5B%5D=cf_74&amp;op%5Bcf_74%5D=%3E%3C&amp;v%5Bcf_74%5D%5B%5D=2022-09-01&amp;v%5Bcf_74%5D%5B%5D=2022-09-30&amp;f%5B%5D=&amp;c%5B%5D=tracker&amp;c%5B%5D=status&amp;c%5B%5D=subject&amp;c%5B%5D=assigned_to&amp;c%5B%5D=spent_hours&amp;c%5B%5D=done_ratio&amp;c%5B%5D=cf_78&amp;group_by=status&amp;t%5B%5D=" TargetMode="External"/><Relationship Id="rId146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01-01&amp;v%5Bcf_74%5D%5B%5D=2023-01-31&amp;f%5B%5D=&amp;c%5B%5D=tracker&amp;c%5B%5D=status&amp;c%5B%5D=subject&amp;c%5B%5D=assigned_to&amp;c%5B%5D=spent_hours&amp;c%5B%5D=done_ratio&amp;c%5B%5D=cf_78&amp;group_by=status&amp;t%5B%5D=" TargetMode="External"/><Relationship Id="rId167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01-01&amp;v%5Bcreated_on%5D%5B%5D=2023-01-31&amp;f%5B%5D=&amp;c%5B%5D=tracker&amp;c%5B%5D=status&amp;c%5B%5D=subject&amp;c%5B%5D=assigned_to&amp;c%5B%5D=spent_hours&amp;c%5B%5D=done_ratio&amp;c%5B%5D=cf_78&amp;group_by=status&amp;t%5B%5D=" TargetMode="External"/><Relationship Id="rId188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3-10-01&amp;v%5Bcf_74%5D%5B%5D=2023-10-31&amp;f%5B%5D=created_on&amp;op%5Bcreated_on%5D=%3E%3D&amp;v%5Bcreated_on%5D%5B%5D=2023-11-01&amp;f%5B%5D=&amp;c%5B%5D=tracker&amp;c%5B%5D=status&amp;c%5B%5D=subject&amp;c%5B%5D=assigned_to&amp;c%5B%5D=created_on&amp;c%5B%5D=cf_74&amp;group_by=status&amp;t%5B%5D=" TargetMode="External"/><Relationship Id="rId71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2-02-01&amp;v%5Bcf_74%5D%5B%5D=2022-02-28&amp;f%5B%5D=created_on&amp;op%5Bcreated_on%5D=%3E%3C&amp;v%5Bcreated_on%5D%5B%5D=2021-01-01&amp;v%5Bcreated_on%5D%5B%5D=2022-01-31&amp;f%5B%5D=&amp;c%5B%5D=tracker&amp;c%5B%5D=status&amp;c%5B%5D=subject&amp;c%5B%5D=assigned_to&amp;c%5B%5D=created_on&amp;c%5B%5D=cf_74&amp;group_by=&amp;t%5B%5D=" TargetMode="External"/><Relationship Id="rId92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02-01&amp;v%5Bcreated_on%5D%5B%5D=2021-02-28&amp;f%5B%5D=&amp;c%5B%5D=tracker&amp;c%5B%5D=status&amp;c%5B%5D=subject&amp;c%5B%5D=assigned_to&amp;c%5B%5D=created_on&amp;group_by=status&amp;t%5B%5D=" TargetMode="External"/><Relationship Id="rId213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4-01-01&amp;v%5Bcf_74%5D%5B%5D=2024-01-31&amp;f%5B%5D=&amp;c%5B%5D=tracker&amp;c%5B%5D=status&amp;c%5B%5D=subject&amp;c%5B%5D=assigned_to&amp;c%5B%5D=spent_hours&amp;c%5B%5D=done_ratio&amp;c%5B%5D=cf_78&amp;group_by=status&amp;t%5B%5D=" TargetMode="External"/><Relationship Id="rId234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4-02-01&amp;v%5Bcreated_on%5D%5B%5D=2024-02-29&amp;f%5B%5D=status_id&amp;op%5Bstatus_id%5D=c&amp;f%5B%5D=cf_74&amp;op%5Bcf_74%5D=%3E%3C&amp;v%5Bcf_74%5D%5B%5D=2024-02-01&amp;v%5Bcf_74%5D%5B%5D=2024-02-29&amp;f%5B%5D=&amp;c%5B%5D=tracker&amp;c%5B%5D=status&amp;c%5B%5D=subject&amp;c%5B%5D=assigned_to&amp;c%5B%5D=spent_hours&amp;c%5B%5D=done_ratio&amp;c%5B%5D=cf_78&amp;group_by=status&amp;t%5B%5D=" TargetMode="External"/><Relationship Id="rId2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D&amp;v%5Bcf_74%5D%5B%5D=2021-01-01&amp;f%5B%5D=&amp;c%5B%5D=tracker&amp;c%5B%5D=status&amp;c%5B%5D=subject&amp;c%5B%5D=assigned_to&amp;c%5B%5D=spent_hours&amp;c%5B%5D=done_ratio&amp;c%5B%5D=cf_78&amp;group_by=status&amp;t%5B%5D=" TargetMode="External"/><Relationship Id="rId29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06-01&amp;v%5Bcreated_on%5D%5B%5D=2021-06-30&amp;f%5B%5D=status_id&amp;op%5Bstatus_id%5D=c&amp;f%5B%5D=cf_74&amp;op%5Bcf_74%5D=%3E%3C&amp;v%5Bcf_74%5D%5B%5D=2021-06-01&amp;v%5Bcf_74%5D%5B%5D=2021-06-30&amp;f%5B%5D=&amp;c%5B%5D=tracker&amp;c%5B%5D=status&amp;c%5B%5D=subject&amp;c%5B%5D=assigned_to&amp;c%5B%5D=spent_hours&amp;c%5B%5D=done_ratio&amp;c%5B%5D=cf_78&amp;group_by=status&amp;t%5B%5D=" TargetMode="External"/><Relationship Id="rId255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4-03-01&amp;v%5Bcreated_on%5D%5B%5D=2024-03-31&amp;f%5B%5D=&amp;c%5B%5D=tracker&amp;c%5B%5D=status&amp;c%5B%5D=subject&amp;c%5B%5D=assigned_to&amp;c%5B%5D=created_on&amp;group_by=status&amp;t%5B%5D=" TargetMode="External"/><Relationship Id="rId40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1-08-01&amp;v%5Bcf_74%5D%5B%5D=2021-08-30&amp;f%5B%5D=created_on&amp;op%5Bcreated_on%5D=%3E%3D&amp;v%5Bcreated_on%5D%5B%5D=2021-09-01&amp;f%5B%5D=&amp;c%5B%5D=tracker&amp;c%5B%5D=status&amp;c%5B%5D=subject&amp;c%5B%5D=assigned_to&amp;c%5B%5D=created_on&amp;c%5B%5D=cf_74&amp;group_by=status&amp;t%5B%5D=" TargetMode="External"/><Relationship Id="rId115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2-07-01&amp;v%5Bcf_74%5D%5B%5D=2022-07-31&amp;f%5B%5D=created_on&amp;op%5Bcreated_on%5D=%3E%3C&amp;v%5Bcreated_on%5D%5B%5D=2021-01-01&amp;v%5Bcreated_on%5D%5B%5D=2022-06-30&amp;f%5B%5D=&amp;c%5B%5D=tracker&amp;c%5B%5D=status&amp;c%5B%5D=subject&amp;c%5B%5D=assigned_to&amp;c%5B%5D=created_on&amp;c%5B%5D=cf_74&amp;group_by=&amp;t%5B%5D=" TargetMode="External"/><Relationship Id="rId136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2-08-01&amp;v%5Bcf_74%5D%5B%5D=2022-08-31&amp;f%5B%5D=created_on&amp;op%5Bcreated_on%5D=%3E%3C&amp;v%5Bcreated_on%5D%5B%5D=2021-01-01&amp;v%5Bcreated_on%5D%5B%5D=2022-07-31&amp;f%5B%5D=&amp;c%5B%5D=tracker&amp;c%5B%5D=status&amp;c%5B%5D=subject&amp;c%5B%5D=assigned_to&amp;c%5B%5D=created_on&amp;c%5B%5D=cf_74&amp;group_by=&amp;t%5B%5D=" TargetMode="External"/><Relationship Id="rId157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11-01&amp;v%5Bcreated_on%5D%5B%5D=2023-11-30&amp;f%5B%5D=&amp;c%5B%5D=tracker&amp;c%5B%5D=status&amp;c%5B%5D=subject&amp;c%5B%5D=assigned_to&amp;c%5B%5D=spent_hours&amp;c%5B%5D=done_ratio&amp;c%5B%5D=cf_78&amp;group_by=status&amp;t%5B%5D=" TargetMode="External"/><Relationship Id="rId178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11-01&amp;v%5Bcreated_on%5D%5B%5D=2023-11-30&amp;f%5B%5D=status_id&amp;op%5Bstatus_id%5D=c&amp;f%5B%5D=cf_74&amp;op%5Bcf_74%5D=%3E%3C&amp;v%5Bcf_74%5D%5B%5D=2023-11-01&amp;v%5Bcf_74%5D%5B%5D=2023-11-30&amp;f%5B%5D=&amp;c%5B%5D=tracker&amp;c%5B%5D=status&amp;c%5B%5D=subject&amp;c%5B%5D=assigned_to&amp;c%5B%5D=spent_hours&amp;c%5B%5D=done_ratio&amp;c%5B%5D=cf_78&amp;group_by=status&amp;t%5B%5D=" TargetMode="External"/><Relationship Id="rId61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1-12-01&amp;v%5Bcf_74%5D%5B%5D=2021-12-31&amp;f%5B%5D=created_on&amp;op%5Bcreated_on%5D=%3E%3C&amp;v%5Bcreated_on%5D%5B%5D=2021-01-01&amp;v%5Bcreated_on%5D%5B%5D=2021-11-30&amp;f%5B%5D=&amp;c%5B%5D=tracker&amp;c%5B%5D=status&amp;c%5B%5D=subject&amp;c%5B%5D=assigned_to&amp;c%5B%5D=created_on&amp;c%5B%5D=cf_74&amp;group_by=&amp;t%5B%5D=" TargetMode="External"/><Relationship Id="rId82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12-01&amp;v%5Bcreated_on%5D%5B%5D=2021-12-31&amp;f%5B%5D=&amp;c%5B%5D=tracker&amp;c%5B%5D=status&amp;c%5B%5D=subject&amp;c%5B%5D=assigned_to&amp;c%5B%5D=created_on&amp;group_by=status&amp;t%5B%5D=" TargetMode="External"/><Relationship Id="rId199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10-01&amp;v%5Bcreated_on%5D%5B%5D=2023-10-31&amp;f%5B%5D=&amp;c%5B%5D=tracker&amp;c%5B%5D=status&amp;c%5B%5D=subject&amp;c%5B%5D=assigned_to&amp;c%5B%5D=created_on&amp;group_by=status&amp;t%5B%5D=" TargetMode="External"/><Relationship Id="rId203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3-03-01&amp;v%5Bcf_74%5D%5B%5D=2023-03-31&amp;f%5B%5D=created_on&amp;op%5Bcreated_on%5D=%3E%3C&amp;v%5Bcreated_on%5D%5B%5D=2021-01-01&amp;v%5Bcreated_on%5D%5B%5D=2023-02-28&amp;f%5B%5D=&amp;c%5B%5D=tracker&amp;c%5B%5D=status&amp;c%5B%5D=subject&amp;c%5B%5D=assigned_to&amp;c%5B%5D=created_on&amp;c%5B%5D=cf_74&amp;group_by=&amp;t%5B%5D=" TargetMode="External"/><Relationship Id="rId19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04-01&amp;v%5Bcreated_on%5D%5B%5D=2021-04-30&amp;f%5B%5D=status_id&amp;op%5Bstatus_id%5D=c&amp;f%5B%5D=cf_74&amp;op%5Bcf_74%5D=%3E%3C&amp;v%5Bcf_74%5D%5B%5D=2021-04-01&amp;v%5Bcf_74%5D%5B%5D=2021-04-30&amp;f%5B%5D=&amp;c%5B%5D=tracker&amp;c%5B%5D=status&amp;c%5B%5D=subject&amp;c%5B%5D=assigned_to&amp;c%5B%5D=spent_hours&amp;c%5B%5D=done_ratio&amp;c%5B%5D=cf_78&amp;group_by=status&amp;t%5B%5D=" TargetMode="External"/><Relationship Id="rId224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4-02-01&amp;v%5Bcreated_on%5D%5B%5D=2024-02-29&amp;f%5B%5D=&amp;c%5B%5D=tracker&amp;c%5B%5D=status&amp;c%5B%5D=subject&amp;c%5B%5D=assigned_to&amp;c%5B%5D=spent_hours&amp;c%5B%5D=done_ratio&amp;c%5B%5D=cf_78&amp;group_by=status&amp;t%5B%5D=" TargetMode="External"/><Relationship Id="rId245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4-02-01&amp;v%5Bcf_74%5D%5B%5D=2024-02-29&amp;f%5B%5D=created_on&amp;op%5Bcreated_on%5D=%3E%3D&amp;v%5Bcreated_on%5D%5B%5D=2024-03-01&amp;f%5B%5D=&amp;c%5B%5D=tracker&amp;c%5B%5D=status&amp;c%5B%5D=subject&amp;c%5B%5D=assigned_to&amp;c%5B%5D=created_on&amp;c%5B%5D=cf_74&amp;group_by=status&amp;t%5B%5D=" TargetMode="External"/><Relationship Id="rId266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4-04-01&amp;v%5Bcf_74%5D%5B%5D=2024-04-30&amp;f%5B%5D=created_on&amp;op%5Bcreated_on%5D=%3E%3C&amp;v%5Bcreated_on%5D%5B%5D=2021-01-01&amp;v%5Bcreated_on%5D%5B%5D=2024-03-31&amp;f%5B%5D=&amp;c%5B%5D=tracker&amp;c%5B%5D=status&amp;c%5B%5D=subject&amp;c%5B%5D=assigned_to&amp;c%5B%5D=created_on&amp;c%5B%5D=cf_74&amp;group_by=&amp;t%5B%5D=" TargetMode="External"/><Relationship Id="rId30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1-06-01&amp;v%5Bcf_74%5D%5B%5D=2021-06-30&amp;f%5B%5D=created_on&amp;op%5Bcreated_on%5D=%3E%3D&amp;v%5Bcreated_on%5D%5B%5D=2021-07-01&amp;f%5B%5D=&amp;c%5B%5D=tracker&amp;c%5B%5D=status&amp;c%5B%5D=subject&amp;c%5B%5D=assigned_to&amp;c%5B%5D=created_on&amp;c%5B%5D=cf_74&amp;group_by=status&amp;t%5B%5D=" TargetMode="External"/><Relationship Id="rId105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07-01&amp;v%5Bcreated_on%5D%5B%5D=2022-07-31&amp;f%5B%5D=status_id&amp;op%5Bstatus_id%5D=c&amp;f%5B%5D=cf_74&amp;op%5Bcf_74%5D=%3E%3C&amp;v%5Bcf_74%5D%5B%5D=2022-07-01&amp;v%5Bcf_74%5D%5B%5D=2022-07-31&amp;f%5B%5D=&amp;c%5B%5D=tracker&amp;c%5B%5D=status&amp;c%5B%5D=subject&amp;c%5B%5D=assigned_to&amp;c%5B%5D=spent_hours&amp;c%5B%5D=done_ratio&amp;c%5B%5D=cf_78&amp;group_by=status&amp;t%5B%5D=" TargetMode="External"/><Relationship Id="rId126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10-01&amp;v%5Bcreated_on%5D%5B%5D=2022-10-31&amp;f%5B%5D=status_id&amp;op%5Bstatus_id%5D=c&amp;f%5B%5D=cf_74&amp;op%5Bcf_74%5D=%3E%3C&amp;v%5Bcf_74%5D%5B%5D=2022-10-01&amp;v%5Bcf_74%5D%5B%5D=2022-10-31&amp;f%5B%5D=&amp;c%5B%5D=tracker&amp;c%5B%5D=status&amp;c%5B%5D=subject&amp;c%5B%5D=assigned_to&amp;c%5B%5D=spent_hours&amp;c%5B%5D=done_ratio&amp;c%5B%5D=cf_78&amp;group_by=status&amp;t%5B%5D=" TargetMode="External"/><Relationship Id="rId147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02-01&amp;v%5Bcf_74%5D%5B%5D=2023-02-28&amp;f%5B%5D=&amp;c%5B%5D=tracker&amp;c%5B%5D=status&amp;c%5B%5D=subject&amp;c%5B%5D=assigned_to&amp;c%5B%5D=spent_hours&amp;c%5B%5D=done_ratio&amp;c%5B%5D=cf_78&amp;group_by=status&amp;t%5B%5D=" TargetMode="External"/><Relationship Id="rId168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01-01&amp;v%5Bcreated_on%5D%5B%5D=2023-01-31&amp;f%5B%5D=status_id&amp;op%5Bstatus_id%5D=c&amp;f%5B%5D=cf_74&amp;op%5Bcf_74%5D=%3E%3C&amp;v%5Bcf_74%5D%5B%5D=2023-01-01&amp;v%5Bcf_74%5D%5B%5D=2023-01-31&amp;f%5B%5D=&amp;c%5B%5D=tracker&amp;c%5B%5D=status&amp;c%5B%5D=subject&amp;c%5B%5D=assigned_to&amp;c%5B%5D=spent_hours&amp;c%5B%5D=done_ratio&amp;c%5B%5D=cf_78&amp;group_by=status&amp;t%5B%5D=" TargetMode="External"/><Relationship Id="rId51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1-10-01&amp;v%5Bcf_74%5D%5B%5D=2021-10-31&amp;f%5B%5D=created_on&amp;op%5Bcreated_on%5D=%3E%3C&amp;v%5Bcreated_on%5D%5B%5D=2021-01-01&amp;v%5Bcreated_on%5D%5B%5D=2021-09-30&amp;f%5B%5D=&amp;c%5B%5D=tracker&amp;c%5B%5D=status&amp;c%5B%5D=subject&amp;c%5B%5D=assigned_to&amp;c%5B%5D=created_on&amp;c%5B%5D=cf_74&amp;group_by=&amp;t%5B%5D=" TargetMode="External"/><Relationship Id="rId72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2-03-01&amp;v%5Bcf_74%5D%5B%5D=2022-03-31&amp;f%5B%5D=&amp;c%5B%5D=tracker&amp;c%5B%5D=status&amp;c%5B%5D=subject&amp;c%5B%5D=assigned_to&amp;c%5B%5D=spent_hours&amp;c%5B%5D=done_ratio&amp;c%5B%5D=cf_78&amp;group_by=status&amp;t%5B%5D=" TargetMode="External"/><Relationship Id="rId93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01-01&amp;v%5Bcreated_on%5D%5B%5D=2021-01-31&amp;f%5B%5D=&amp;c%5B%5D=tracker&amp;c%5B%5D=status&amp;c%5B%5D=subject&amp;c%5B%5D=assigned_to&amp;c%5B%5D=created_on&amp;group_by=status&amp;t%5B%5D=" TargetMode="External"/><Relationship Id="rId189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3-11-01&amp;v%5Bcf_74%5D%5B%5D=2023-11-30&amp;f%5B%5D=created_on&amp;op%5Bcreated_on%5D=%3E%3D&amp;v%5Bcreated_on%5D%5B%5D=2023-12-01&amp;f%5B%5D=&amp;c%5B%5D=tracker&amp;c%5B%5D=status&amp;c%5B%5D=subject&amp;c%5B%5D=assigned_to&amp;c%5B%5D=created_on&amp;c%5B%5D=cf_74&amp;group_by=status&amp;t%5B%5D=" TargetMode="External"/><Relationship Id="rId3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01-01&amp;v%5Bcf_74%5D%5B%5D=2021-01-31&amp;f%5B%5D=&amp;c%5B%5D=tracker&amp;c%5B%5D=status&amp;c%5B%5D=subject&amp;c%5B%5D=assigned_to&amp;c%5B%5D=spent_hours&amp;c%5B%5D=done_ratio&amp;c%5B%5D=cf_78&amp;group_by=status&amp;t%5B%5D=" TargetMode="External"/><Relationship Id="rId214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4-02-01&amp;v%5Bcf_74%5D%5B%5D=2024-02-29&amp;f%5B%5D=&amp;c%5B%5D=tracker&amp;c%5B%5D=status&amp;c%5B%5D=subject&amp;c%5B%5D=assigned_to&amp;c%5B%5D=spent_hours&amp;c%5B%5D=done_ratio&amp;c%5B%5D=cf_78&amp;group_by=status&amp;t%5B%5D=" TargetMode="External"/><Relationship Id="rId235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4-03-01&amp;v%5Bcreated_on%5D%5B%5D=2024-03-31&amp;f%5B%5D=status_id&amp;op%5Bstatus_id%5D=c&amp;f%5B%5D=cf_74&amp;op%5Bcf_74%5D=%3E%3C&amp;v%5Bcf_74%5D%5B%5D=2024-03-01&amp;v%5Bcf_74%5D%5B%5D=2024-03-31&amp;f%5B%5D=&amp;c%5B%5D=tracker&amp;c%5B%5D=status&amp;c%5B%5D=subject&amp;c%5B%5D=assigned_to&amp;c%5B%5D=spent_hours&amp;c%5B%5D=done_ratio&amp;c%5B%5D=cf_78&amp;group_by=status&amp;t%5B%5D=" TargetMode="External"/><Relationship Id="rId256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4-04-01&amp;v%5Bcreated_on%5D%5B%5D=2024-04-30&amp;f%5B%5D=&amp;c%5B%5D=tracker&amp;c%5B%5D=status&amp;c%5B%5D=subject&amp;c%5B%5D=assigned_to&amp;c%5B%5D=created_on&amp;group_by=status&amp;t%5B%5D=" TargetMode="External"/><Relationship Id="rId116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2-08-01&amp;v%5Bcf_74%5D%5B%5D=2022-08-31&amp;f%5B%5D=&amp;c%5B%5D=tracker&amp;c%5B%5D=status&amp;c%5B%5D=subject&amp;c%5B%5D=assigned_to&amp;c%5B%5D=spent_hours&amp;c%5B%5D=done_ratio&amp;c%5B%5D=cf_78&amp;group_by=status&amp;t%5B%5D=" TargetMode="External"/><Relationship Id="rId137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2-09-01&amp;v%5Bcf_74%5D%5B%5D=2022-09-30&amp;f%5B%5D=created_on&amp;op%5Bcreated_on%5D=%3E%3C&amp;v%5Bcreated_on%5D%5B%5D=2021-01-01&amp;v%5Bcreated_on%5D%5B%5D=2022-08-31&amp;f%5B%5D=&amp;c%5B%5D=tracker&amp;c%5B%5D=status&amp;c%5B%5D=subject&amp;c%5B%5D=assigned_to&amp;c%5B%5D=created_on&amp;c%5B%5D=cf_74&amp;group_by=&amp;t%5B%5D=" TargetMode="External"/><Relationship Id="rId158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10-01&amp;v%5Bcreated_on%5D%5B%5D=2023-10-31&amp;f%5B%5D=&amp;c%5B%5D=tracker&amp;c%5B%5D=status&amp;c%5B%5D=subject&amp;c%5B%5D=assigned_to&amp;c%5B%5D=spent_hours&amp;c%5B%5D=done_ratio&amp;c%5B%5D=cf_78&amp;group_by=status&amp;t%5B%5D=" TargetMode="External"/><Relationship Id="rId20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1-04-01&amp;v%5Bcf_74%5D%5B%5D=2021-04-30&amp;f%5B%5D=created_on&amp;op%5Bcreated_on%5D=%3E%3D&amp;v%5Bcreated_on%5D%5B%5D=2021-05-01&amp;f%5B%5D=&amp;c%5B%5D=tracker&amp;c%5B%5D=status&amp;c%5B%5D=subject&amp;c%5B%5D=assigned_to&amp;c%5B%5D=created_on&amp;c%5B%5D=cf_74&amp;group_by=status&amp;t%5B%5D=" TargetMode="External"/><Relationship Id="rId41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1-08-01&amp;v%5Bcf_74%5D%5B%5D=2021-08-31&amp;f%5B%5D=created_on&amp;op%5Bcreated_on%5D=%3E%3C&amp;v%5Bcreated_on%5D%5B%5D=2021-01-01&amp;v%5Bcreated_on%5D%5B%5D=2021-07-31&amp;f%5B%5D=&amp;c%5B%5D=tracker&amp;c%5B%5D=status&amp;c%5B%5D=subject&amp;c%5B%5D=assigned_to&amp;c%5B%5D=created_on&amp;c%5B%5D=cf_74&amp;group_by=&amp;t%5B%5D=" TargetMode="External"/><Relationship Id="rId62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2-01-01&amp;v%5Bcf_74%5D%5B%5D=2022-01-31&amp;f%5B%5D=&amp;c%5B%5D=tracker&amp;c%5B%5D=status&amp;c%5B%5D=subject&amp;c%5B%5D=assigned_to&amp;c%5B%5D=spent_hours&amp;c%5B%5D=done_ratio&amp;c%5B%5D=cf_78&amp;group_by=status&amp;t%5B%5D=" TargetMode="External"/><Relationship Id="rId83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11-01&amp;v%5Bcreated_on%5D%5B%5D=2021-11-30&amp;f%5B%5D=&amp;c%5B%5D=tracker&amp;c%5B%5D=status&amp;c%5B%5D=subject&amp;c%5B%5D=assigned_to&amp;c%5B%5D=created_on&amp;group_by=status&amp;t%5B%5D=" TargetMode="External"/><Relationship Id="rId179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3-01-01&amp;v%5Bcf_74%5D%5B%5D=2023-01-31&amp;f%5B%5D=created_on&amp;op%5Bcreated_on%5D=%3E%3D&amp;v%5Bcreated_on%5D%5B%5D=2023-02-01&amp;f%5B%5D=&amp;c%5B%5D=tracker&amp;c%5B%5D=status&amp;c%5B%5D=subject&amp;c%5B%5D=assigned_to&amp;c%5B%5D=created_on&amp;c%5B%5D=cf_74&amp;group_by=status&amp;t%5B%5D=" TargetMode="External"/><Relationship Id="rId190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01-01&amp;v%5Bcreated_on%5D%5B%5D=2023-01-31&amp;f%5B%5D=&amp;c%5B%5D=tracker&amp;c%5B%5D=status&amp;c%5B%5D=subject&amp;c%5B%5D=assigned_to&amp;c%5B%5D=created_on&amp;group_by=status&amp;t%5B%5D=" TargetMode="External"/><Relationship Id="rId204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3-04-01&amp;v%5Bcf_74%5D%5B%5D=2023-04-30&amp;f%5B%5D=created_on&amp;op%5Bcreated_on%5D=%3E%3C&amp;v%5Bcreated_on%5D%5B%5D=2021-01-01&amp;v%5Bcreated_on%5D%5B%5D=2023-03-31&amp;f%5B%5D=&amp;c%5B%5D=tracker&amp;c%5B%5D=status&amp;c%5B%5D=subject&amp;c%5B%5D=assigned_to&amp;c%5B%5D=created_on&amp;c%5B%5D=cf_74&amp;group_by=&amp;t%5B%5D=" TargetMode="External"/><Relationship Id="rId225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4-03-01&amp;v%5Bcreated_on%5D%5B%5D=2024-03-31&amp;f%5B%5D=&amp;c%5B%5D=tracker&amp;c%5B%5D=status&amp;c%5B%5D=subject&amp;c%5B%5D=assigned_to&amp;c%5B%5D=spent_hours&amp;c%5B%5D=done_ratio&amp;c%5B%5D=cf_78&amp;group_by=status&amp;t%5B%5D=" TargetMode="External"/><Relationship Id="rId246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4-03-01&amp;v%5Bcf_74%5D%5B%5D=2024-03-31&amp;f%5B%5D=created_on&amp;op%5Bcreated_on%5D=%3E%3D&amp;v%5Bcreated_on%5D%5B%5D=2024-04-01&amp;f%5B%5D=&amp;c%5B%5D=tracker&amp;c%5B%5D=status&amp;c%5B%5D=subject&amp;c%5B%5D=assigned_to&amp;c%5B%5D=created_on&amp;c%5B%5D=cf_74&amp;group_by=status&amp;t%5B%5D=" TargetMode="External"/><Relationship Id="rId267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4-05-01&amp;v%5Bcf_74%5D%5B%5D=2024-05-31&amp;f%5B%5D=created_on&amp;op%5Bcreated_on%5D=%3E%3C&amp;v%5Bcreated_on%5D%5B%5D=2021-01-01&amp;v%5Bcreated_on%5D%5B%5D=2024-04-30&amp;f%5B%5D=&amp;c%5B%5D=tracker&amp;c%5B%5D=status&amp;c%5B%5D=subject&amp;c%5B%5D=assigned_to&amp;c%5B%5D=created_on&amp;c%5B%5D=cf_74&amp;group_by=&amp;t%5B%5D=" TargetMode="External"/><Relationship Id="rId106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2-04-01&amp;v%5Bcf_74%5D%5B%5D=2022-04-30&amp;f%5B%5D=created_on&amp;op%5Bcreated_on%5D=%3E%3D&amp;v%5Bcreated_on%5D%5B%5D=2022-05-01&amp;f%5B%5D=&amp;c%5B%5D=tracker&amp;c%5B%5D=status&amp;c%5B%5D=subject&amp;c%5B%5D=assigned_to&amp;c%5B%5D=created_on&amp;c%5B%5D=cf_74&amp;group_by=status&amp;t%5B%5D=" TargetMode="External"/><Relationship Id="rId127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11-01&amp;v%5Bcreated_on%5D%5B%5D=2022-11-30&amp;f%5B%5D=status_id&amp;op%5Bstatus_id%5D=c&amp;f%5B%5D=cf_74&amp;op%5Bcf_74%5D=%3E%3C&amp;v%5Bcf_74%5D%5B%5D=2022-11-01&amp;v%5Bcf_74%5D%5B%5D=2022-11-30&amp;f%5B%5D=&amp;c%5B%5D=tracker&amp;c%5B%5D=status&amp;c%5B%5D=subject&amp;c%5B%5D=assigned_to&amp;c%5B%5D=spent_hours&amp;c%5B%5D=done_ratio&amp;c%5B%5D=cf_78&amp;group_by=status&amp;t%5B%5D=" TargetMode="External"/><Relationship Id="rId10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1-02-01&amp;v%5Bcf_74%5D%5B%5D=2021-02-28&amp;f%5B%5D=created_on&amp;op%5Bcreated_on%5D=%3E%3D&amp;v%5Bcreated_on%5D%5B%5D=2021-03-01&amp;f%5B%5D=&amp;c%5B%5D=tracker&amp;c%5B%5D=status&amp;c%5B%5D=subject&amp;c%5B%5D=assigned_to&amp;c%5B%5D=created_on&amp;c%5B%5D=cf_74&amp;group_by=status&amp;t%5B%5D=" TargetMode="External"/><Relationship Id="rId31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1-06-01&amp;v%5Bcf_74%5D%5B%5D=2021-06-30&amp;f%5B%5D=created_on&amp;op%5Bcreated_on%5D=%3E%3C&amp;v%5Bcreated_on%5D%5B%5D=2021-01-01&amp;v%5Bcreated_on%5D%5B%5D=2021-05-31&amp;f%5B%5D=&amp;c%5B%5D=tracker&amp;c%5B%5D=status&amp;c%5B%5D=subject&amp;c%5B%5D=assigned_to&amp;c%5B%5D=created_on&amp;c%5B%5D=cf_74&amp;group_by=&amp;t%5B%5D=" TargetMode="External"/><Relationship Id="rId52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11-01&amp;v%5Bcf_74%5D%5B%5D=2021-11-30&amp;f%5B%5D=&amp;c%5B%5D=tracker&amp;c%5B%5D=status&amp;c%5B%5D=subject&amp;c%5B%5D=assigned_to&amp;c%5B%5D=spent_hours&amp;c%5B%5D=done_ratio&amp;c%5B%5D=cf_78&amp;group_by=status&amp;t%5B%5D=" TargetMode="External"/><Relationship Id="rId73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2-03-01&amp;v%5Bcreated_on%5D%5B%5D=2022-03-31&amp;f%5B%5D=&amp;c%5B%5D=tracker&amp;c%5B%5D=status&amp;c%5B%5D=subject&amp;c%5B%5D=assigned_to&amp;c%5B%5D=spent_hours&amp;c%5B%5D=done_ratio&amp;c%5B%5D=cf_78&amp;group_by=status&amp;t%5B%5D=" TargetMode="External"/><Relationship Id="rId94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04-01&amp;v%5Bcreated_on%5D%5B%5D=2022-04-30&amp;f%5B%5D=&amp;c%5B%5D=tracker&amp;c%5B%5D=status&amp;c%5B%5D=subject&amp;c%5B%5D=assigned_to&amp;c%5B%5D=created_on&amp;group_by=status&amp;t%5B%5D=" TargetMode="External"/><Relationship Id="rId148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03-01&amp;v%5Bcf_74%5D%5B%5D=2023-03-31&amp;f%5B%5D=&amp;c%5B%5D=tracker&amp;c%5B%5D=status&amp;c%5B%5D=subject&amp;c%5B%5D=assigned_to&amp;c%5B%5D=spent_hours&amp;c%5B%5D=done_ratio&amp;c%5B%5D=cf_78&amp;group_by=status&amp;t%5B%5D=" TargetMode="External"/><Relationship Id="rId169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3-02-01&amp;v%5Bcreated_on%5D%5B%5D=2023-02-28&amp;f%5B%5D=status_id&amp;op%5Bstatus_id%5D=c&amp;f%5B%5D=cf_74&amp;op%5Bcf_74%5D=%3E%3C&amp;v%5Bcf_74%5D%5B%5D=2023-02-01&amp;v%5Bcf_74%5D%5B%5D=2023-02-28&amp;f%5B%5D=&amp;c%5B%5D=tracker&amp;c%5B%5D=status&amp;c%5B%5D=subject&amp;c%5B%5D=assigned_to&amp;c%5B%5D=spent_hours&amp;c%5B%5D=done_ratio&amp;c%5B%5D=cf_78&amp;group_by=status&amp;t%5B%5D=" TargetMode="External"/><Relationship Id="rId4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1-01-01&amp;v%5Bcreated_on%5D%5B%5D=2021-01-31&amp;f%5B%5D=&amp;c%5B%5D=tracker&amp;c%5B%5D=status&amp;c%5B%5D=subject&amp;c%5B%5D=assigned_to&amp;c%5B%5D=spent_hours&amp;c%5B%5D=done_ratio&amp;c%5B%5D=cf_78&amp;group_by=status&amp;t%5B%5D=" TargetMode="External"/><Relationship Id="rId180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3-02-01&amp;v%5Bcf_74%5D%5B%5D=2023-02-28&amp;f%5B%5D=created_on&amp;op%5Bcreated_on%5D=%3E%3D&amp;v%5Bcreated_on%5D%5B%5D=2023-03-01&amp;f%5B%5D=&amp;c%5B%5D=tracker&amp;c%5B%5D=status&amp;c%5B%5D=subject&amp;c%5B%5D=assigned_to&amp;c%5B%5D=created_on&amp;c%5B%5D=cf_74&amp;group_by=status&amp;t%5B%5D=" TargetMode="External"/><Relationship Id="rId215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4-03-01&amp;v%5Bcf_74%5D%5B%5D=2024-03-31&amp;f%5B%5D=&amp;c%5B%5D=tracker&amp;c%5B%5D=status&amp;c%5B%5D=subject&amp;c%5B%5D=assigned_to&amp;c%5B%5D=spent_hours&amp;c%5B%5D=done_ratio&amp;c%5B%5D=cf_78&amp;group_by=status&amp;t%5B%5D=" TargetMode="External"/><Relationship Id="rId236" Type="http://schemas.openxmlformats.org/officeDocument/2006/relationships/hyperlink" Target="https://gertiq.senado.gov.br/redmine/projects/projeto007/issues?utf8=%E2%9C%93&amp;set_filter=1&amp;sort=id%3Adesc&amp;f%5B%5D=created_on&amp;op%5Bcreated_on%5D=%3E%3C&amp;v%5Bcreated_on%5D%5B%5D=2024-04-01&amp;v%5Bcreated_on%5D%5B%5D=2024-04-30&amp;f%5B%5D=status_id&amp;op%5Bstatus_id%5D=c&amp;f%5B%5D=cf_74&amp;op%5Bcf_74%5D=%3E%3C&amp;v%5Bcf_74%5D%5B%5D=2024-04-01&amp;v%5Bcf_74%5D%5B%5D=2024-04-30&amp;f%5B%5D=&amp;c%5B%5D=tracker&amp;c%5B%5D=status&amp;c%5B%5D=subject&amp;c%5B%5D=assigned_to&amp;c%5B%5D=spent_hours&amp;c%5B%5D=done_ratio&amp;c%5B%5D=cf_78&amp;group_by=status&amp;t%5B%5D=" TargetMode="External"/><Relationship Id="rId257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4-05-01&amp;v%5Bcreated_on%5D%5B%5D=2024-05-31&amp;f%5B%5D=&amp;c%5B%5D=tracker&amp;c%5B%5D=status&amp;c%5B%5D=subject&amp;c%5B%5D=assigned_to&amp;c%5B%5D=created_on&amp;group_by=status&amp;t%5B%5D=" TargetMode="External"/><Relationship Id="rId42" Type="http://schemas.openxmlformats.org/officeDocument/2006/relationships/hyperlink" Target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09-01&amp;v%5Bcf_74%5D%5B%5D=2021-09-30&amp;f%5B%5D=&amp;c%5B%5D=tracker&amp;c%5B%5D=status&amp;c%5B%5D=subject&amp;c%5B%5D=assigned_to&amp;c%5B%5D=spent_hours&amp;c%5B%5D=done_ratio&amp;c%5B%5D=cf_78&amp;group_by=status&amp;t%5B%5D=" TargetMode="External"/><Relationship Id="rId84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10-01&amp;v%5Bcreated_on%5D%5B%5D=2021-10-31&amp;f%5B%5D=&amp;c%5B%5D=tracker&amp;c%5B%5D=status&amp;c%5B%5D=subject&amp;c%5B%5D=assigned_to&amp;c%5B%5D=created_on&amp;group_by=status&amp;t%5B%5D=" TargetMode="External"/><Relationship Id="rId138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2-10-01&amp;v%5Bcf_74%5D%5B%5D=2022-10-31&amp;f%5B%5D=created_on&amp;op%5Bcreated_on%5D=%3E%3C&amp;v%5Bcreated_on%5D%5B%5D=2021-01-01&amp;v%5Bcreated_on%5D%5B%5D=2022-09-30&amp;f%5B%5D=&amp;c%5B%5D=tracker&amp;c%5B%5D=status&amp;c%5B%5D=subject&amp;c%5B%5D=assigned_to&amp;c%5B%5D=created_on&amp;c%5B%5D=cf_74&amp;group_by=&amp;t%5B%5D=" TargetMode="External"/><Relationship Id="rId191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02-01&amp;v%5Bcreated_on%5D%5B%5D=2023-02-28&amp;f%5B%5D=&amp;c%5B%5D=tracker&amp;c%5B%5D=status&amp;c%5B%5D=subject&amp;c%5B%5D=assigned_to&amp;c%5B%5D=created_on&amp;group_by=status&amp;t%5B%5D=" TargetMode="External"/><Relationship Id="rId205" Type="http://schemas.openxmlformats.org/officeDocument/2006/relationships/hyperlink" Target="https://gertiq.senado.gov.br/redmine/projects/projeto007/issues?utf8=%E2%9C%93&amp;set_filter=1&amp;sort=created_on%2Cid%3Adesc&amp;f%5B%5D=status_id&amp;op%5Bstatus_id%5D=c&amp;f%5B%5D=cf_74&amp;op%5Bcf_74%5D=%3E%3C&amp;v%5Bcf_74%5D%5B%5D=2023-05-01&amp;v%5Bcf_74%5D%5B%5D=2023-05-31&amp;f%5B%5D=created_on&amp;op%5Bcreated_on%5D=%3E%3C&amp;v%5Bcreated_on%5D%5B%5D=2021-01-01&amp;v%5Bcreated_on%5D%5B%5D=2023-04-30&amp;f%5B%5D=&amp;c%5B%5D=tracker&amp;c%5B%5D=status&amp;c%5B%5D=subject&amp;c%5B%5D=assigned_to&amp;c%5B%5D=created_on&amp;c%5B%5D=cf_74&amp;group_by=&amp;t%5B%5D=" TargetMode="External"/><Relationship Id="rId247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4-04-01&amp;v%5Bcf_74%5D%5B%5D=2024-04-30&amp;f%5B%5D=created_on&amp;op%5Bcreated_on%5D=%3E%3D&amp;v%5Bcreated_on%5D%5B%5D=2024-05-01&amp;f%5B%5D=&amp;c%5B%5D=tracker&amp;c%5B%5D=status&amp;c%5B%5D=subject&amp;c%5B%5D=assigned_to&amp;c%5B%5D=created_on&amp;c%5B%5D=cf_74&amp;group_by=status&amp;t%5B%5D=" TargetMode="External"/><Relationship Id="rId107" Type="http://schemas.openxmlformats.org/officeDocument/2006/relationships/hyperlink" Target="https://gertiq.senado.gov.br/redmine/projects/projeto007/issues?utf8=%E2%9C%93&amp;set_filter=1&amp;sort=id%3Adesc&amp;f%5B%5D=status_id&amp;op%5Bstatus_id%5D=c&amp;f%5B%5D=cf_74&amp;op%5Bcf_74%5D=%3E%3C&amp;v%5Bcf_74%5D%5B%5D=2022-05-01&amp;v%5Bcf_74%5D%5B%5D=2022-05-31&amp;f%5B%5D=created_on&amp;op%5Bcreated_on%5D=%3E%3D&amp;v%5Bcreated_on%5D%5B%5D=2022-06-01&amp;f%5B%5D=&amp;c%5B%5D=tracker&amp;c%5B%5D=status&amp;c%5B%5D=subject&amp;c%5B%5D=assigned_to&amp;c%5B%5D=created_on&amp;c%5B%5D=cf_74&amp;group_by=status&amp;t%5B%5D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27CC-F104-4DFB-B989-6EFD85364F72}">
  <dimension ref="A1"/>
  <sheetViews>
    <sheetView tabSelected="1" zoomScale="80" zoomScaleNormal="80" workbookViewId="0">
      <selection activeCell="T46" sqref="T46"/>
    </sheetView>
  </sheetViews>
  <sheetFormatPr defaultColWidth="8.7109375" defaultRowHeight="12.75" x14ac:dyDescent="0.2"/>
  <cols>
    <col min="1" max="16384" width="8.7109375" style="48"/>
  </cols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30"/>
  <sheetViews>
    <sheetView topLeftCell="A8" zoomScale="90" zoomScaleNormal="90" workbookViewId="0">
      <selection activeCell="K59" sqref="K59"/>
    </sheetView>
  </sheetViews>
  <sheetFormatPr defaultColWidth="12.5703125" defaultRowHeight="15.75" customHeight="1" x14ac:dyDescent="0.2"/>
  <cols>
    <col min="1" max="1" width="5.5703125" customWidth="1"/>
    <col min="2" max="2" width="10.140625" customWidth="1"/>
    <col min="3" max="3" width="16.7109375" customWidth="1"/>
    <col min="4" max="4" width="17.5703125" customWidth="1"/>
    <col min="5" max="5" width="15.28515625" customWidth="1"/>
    <col min="6" max="6" width="14.7109375" customWidth="1"/>
    <col min="7" max="8" width="13.7109375" customWidth="1"/>
    <col min="9" max="9" width="20" customWidth="1"/>
    <col min="10" max="10" width="18.140625" bestFit="1" customWidth="1"/>
    <col min="11" max="11" width="18.140625" customWidth="1"/>
    <col min="12" max="12" width="21.140625" bestFit="1" customWidth="1"/>
    <col min="13" max="13" width="13.85546875" bestFit="1" customWidth="1"/>
    <col min="15" max="15" width="17.7109375" bestFit="1" customWidth="1"/>
  </cols>
  <sheetData>
    <row r="1" spans="1:29" ht="15.75" customHeight="1" x14ac:dyDescent="0.2">
      <c r="A1" s="1"/>
      <c r="B1" s="1"/>
      <c r="C1" s="2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2.75" x14ac:dyDescent="0.2">
      <c r="A2" s="1"/>
      <c r="B2" s="5"/>
      <c r="C2" s="52" t="s">
        <v>0</v>
      </c>
      <c r="D2" s="56"/>
      <c r="E2" s="53"/>
      <c r="F2" s="6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51" x14ac:dyDescent="0.2">
      <c r="A3" s="1"/>
      <c r="B3" s="5"/>
      <c r="C3" s="7" t="s">
        <v>1</v>
      </c>
      <c r="D3" s="7" t="s">
        <v>2</v>
      </c>
      <c r="E3" s="7" t="s">
        <v>3</v>
      </c>
      <c r="F3" s="6"/>
      <c r="G3" s="6"/>
      <c r="H3" s="1"/>
      <c r="I3" s="1"/>
      <c r="J3" s="1"/>
      <c r="K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2.75" x14ac:dyDescent="0.2">
      <c r="A4" s="8"/>
      <c r="B4" s="5"/>
      <c r="C4" s="9">
        <v>53</v>
      </c>
      <c r="D4" s="9">
        <v>1162</v>
      </c>
      <c r="E4" s="10">
        <f>SUM(C4,D4)</f>
        <v>1215</v>
      </c>
      <c r="F4" s="6"/>
      <c r="G4" s="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 x14ac:dyDescent="0.2">
      <c r="A5" s="1"/>
      <c r="B5" s="11"/>
      <c r="C5" s="12"/>
      <c r="D5" s="12"/>
      <c r="E5" s="12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2.75" x14ac:dyDescent="0.2">
      <c r="A6" s="1"/>
      <c r="B6" s="13"/>
      <c r="C6" s="52" t="s">
        <v>4</v>
      </c>
      <c r="D6" s="53"/>
      <c r="E6" s="57" t="s">
        <v>5</v>
      </c>
      <c r="F6" s="58"/>
      <c r="G6" s="58"/>
      <c r="H6" s="58"/>
      <c r="I6" s="58"/>
      <c r="J6" s="58"/>
      <c r="K6" s="58"/>
      <c r="L6" s="54"/>
      <c r="M6" s="55"/>
      <c r="N6" s="6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93.75" customHeight="1" x14ac:dyDescent="0.2">
      <c r="A7" s="1"/>
      <c r="B7" s="5"/>
      <c r="C7" s="43" t="s">
        <v>6</v>
      </c>
      <c r="D7" s="42" t="s">
        <v>7</v>
      </c>
      <c r="E7" s="27" t="s">
        <v>8</v>
      </c>
      <c r="F7" s="28" t="s">
        <v>9</v>
      </c>
      <c r="G7" s="28" t="s">
        <v>10</v>
      </c>
      <c r="H7" s="29" t="s">
        <v>11</v>
      </c>
      <c r="I7" s="28" t="s">
        <v>12</v>
      </c>
      <c r="J7" s="39" t="s">
        <v>13</v>
      </c>
      <c r="K7" s="30" t="s">
        <v>14</v>
      </c>
      <c r="L7" s="35" t="s">
        <v>15</v>
      </c>
      <c r="M7" s="38" t="s">
        <v>16</v>
      </c>
      <c r="N7" s="38" t="s">
        <v>17</v>
      </c>
      <c r="O7" s="46" t="s">
        <v>18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2.75" x14ac:dyDescent="0.2">
      <c r="A8" s="14"/>
      <c r="B8" s="15">
        <v>44166</v>
      </c>
      <c r="C8" s="16" t="s">
        <v>19</v>
      </c>
      <c r="D8" s="40">
        <f>E4</f>
        <v>1215</v>
      </c>
      <c r="E8" s="16" t="s">
        <v>19</v>
      </c>
      <c r="F8" s="16" t="s">
        <v>19</v>
      </c>
      <c r="G8" s="16" t="s">
        <v>19</v>
      </c>
      <c r="H8" s="17"/>
      <c r="I8" s="16" t="s">
        <v>19</v>
      </c>
      <c r="J8" s="36" t="s">
        <v>19</v>
      </c>
      <c r="K8" s="31" t="s">
        <v>19</v>
      </c>
      <c r="L8" s="33" t="s">
        <v>19</v>
      </c>
      <c r="M8" s="18">
        <f>E4</f>
        <v>1215</v>
      </c>
      <c r="N8" s="44" t="s">
        <v>19</v>
      </c>
      <c r="O8" s="47">
        <v>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2.75" x14ac:dyDescent="0.2">
      <c r="A9" s="19"/>
      <c r="B9" s="20">
        <v>44197</v>
      </c>
      <c r="C9" s="21">
        <v>73</v>
      </c>
      <c r="D9" s="37">
        <f>D8-C9</f>
        <v>1142</v>
      </c>
      <c r="E9" s="21">
        <v>194</v>
      </c>
      <c r="F9" s="21">
        <v>94</v>
      </c>
      <c r="G9" s="21">
        <v>8</v>
      </c>
      <c r="H9" s="22">
        <v>44</v>
      </c>
      <c r="I9" s="23">
        <v>0</v>
      </c>
      <c r="J9" s="37">
        <f>E9-F9-G9-H9</f>
        <v>48</v>
      </c>
      <c r="K9" s="32">
        <f>E9-J9</f>
        <v>146</v>
      </c>
      <c r="L9" s="34">
        <f>SUM(C9,F9,G9,I9,H9)</f>
        <v>219</v>
      </c>
      <c r="M9" s="18">
        <f>M8+E9-L9</f>
        <v>1190</v>
      </c>
      <c r="N9" s="45">
        <f>J9-I9</f>
        <v>48</v>
      </c>
      <c r="O9" s="47">
        <f t="shared" ref="O9:O24" si="0">J9/E9</f>
        <v>0.24742268041237114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2.75" x14ac:dyDescent="0.2">
      <c r="A10" s="19"/>
      <c r="B10" s="20">
        <v>44228</v>
      </c>
      <c r="C10" s="21">
        <v>100</v>
      </c>
      <c r="D10" s="37">
        <f t="shared" ref="D10:D42" si="1">D9-C10</f>
        <v>1042</v>
      </c>
      <c r="E10" s="21">
        <v>335</v>
      </c>
      <c r="F10" s="21">
        <v>167</v>
      </c>
      <c r="G10" s="21">
        <v>2</v>
      </c>
      <c r="H10" s="22">
        <v>22</v>
      </c>
      <c r="I10" s="21">
        <v>21</v>
      </c>
      <c r="J10" s="37">
        <f>E10-F10-G10-H10</f>
        <v>144</v>
      </c>
      <c r="K10" s="32">
        <f t="shared" ref="K10:K24" si="2">E10-J10</f>
        <v>191</v>
      </c>
      <c r="L10" s="34">
        <f t="shared" ref="L10:L23" si="3">SUM(C10,F10,G10,I10,H10)</f>
        <v>312</v>
      </c>
      <c r="M10" s="18">
        <f t="shared" ref="M10:M23" si="4">M9+E10-L10</f>
        <v>1213</v>
      </c>
      <c r="N10" s="45">
        <f t="shared" ref="N10:N24" si="5">J10-I10+N9</f>
        <v>171</v>
      </c>
      <c r="O10" s="47">
        <f t="shared" si="0"/>
        <v>0.42985074626865671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2.75" x14ac:dyDescent="0.2">
      <c r="A11" s="19"/>
      <c r="B11" s="20">
        <v>44256</v>
      </c>
      <c r="C11" s="21">
        <v>67</v>
      </c>
      <c r="D11" s="37">
        <f t="shared" si="1"/>
        <v>975</v>
      </c>
      <c r="E11" s="21">
        <v>474</v>
      </c>
      <c r="F11" s="21">
        <v>257</v>
      </c>
      <c r="G11" s="21">
        <v>0</v>
      </c>
      <c r="H11" s="22">
        <v>31</v>
      </c>
      <c r="I11" s="21">
        <v>59</v>
      </c>
      <c r="J11" s="37">
        <f>E11-F11-G11-H11</f>
        <v>186</v>
      </c>
      <c r="K11" s="32">
        <f t="shared" si="2"/>
        <v>288</v>
      </c>
      <c r="L11" s="34">
        <f t="shared" si="3"/>
        <v>414</v>
      </c>
      <c r="M11" s="18">
        <f t="shared" si="4"/>
        <v>1273</v>
      </c>
      <c r="N11" s="45">
        <f t="shared" si="5"/>
        <v>298</v>
      </c>
      <c r="O11" s="47">
        <f t="shared" si="0"/>
        <v>0.39240506329113922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2.75" x14ac:dyDescent="0.2">
      <c r="A12" s="19"/>
      <c r="B12" s="20">
        <v>44287</v>
      </c>
      <c r="C12" s="21">
        <v>20</v>
      </c>
      <c r="D12" s="37">
        <f t="shared" si="1"/>
        <v>955</v>
      </c>
      <c r="E12" s="21">
        <v>346</v>
      </c>
      <c r="F12" s="21">
        <v>190</v>
      </c>
      <c r="G12" s="21">
        <v>1</v>
      </c>
      <c r="H12" s="22">
        <v>24</v>
      </c>
      <c r="I12" s="21">
        <v>84</v>
      </c>
      <c r="J12" s="37">
        <f>E12-F12-G12-H12</f>
        <v>131</v>
      </c>
      <c r="K12" s="32">
        <f t="shared" si="2"/>
        <v>215</v>
      </c>
      <c r="L12" s="34">
        <f t="shared" si="3"/>
        <v>319</v>
      </c>
      <c r="M12" s="18">
        <f t="shared" si="4"/>
        <v>1300</v>
      </c>
      <c r="N12" s="45">
        <f t="shared" si="5"/>
        <v>345</v>
      </c>
      <c r="O12" s="47">
        <f t="shared" si="0"/>
        <v>0.37861271676300579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2.75" x14ac:dyDescent="0.2">
      <c r="A13" s="19"/>
      <c r="B13" s="20">
        <v>44317</v>
      </c>
      <c r="C13" s="21">
        <v>17</v>
      </c>
      <c r="D13" s="37">
        <f t="shared" si="1"/>
        <v>938</v>
      </c>
      <c r="E13" s="21">
        <v>402</v>
      </c>
      <c r="F13" s="21">
        <v>255</v>
      </c>
      <c r="G13" s="21">
        <v>2</v>
      </c>
      <c r="H13" s="22">
        <v>41</v>
      </c>
      <c r="I13" s="21">
        <v>102</v>
      </c>
      <c r="J13" s="37">
        <f t="shared" ref="J13:J23" si="6">E13-F13-G13-H13</f>
        <v>104</v>
      </c>
      <c r="K13" s="32">
        <f t="shared" si="2"/>
        <v>298</v>
      </c>
      <c r="L13" s="34">
        <f t="shared" si="3"/>
        <v>417</v>
      </c>
      <c r="M13" s="18">
        <f t="shared" si="4"/>
        <v>1285</v>
      </c>
      <c r="N13" s="45">
        <f t="shared" si="5"/>
        <v>347</v>
      </c>
      <c r="O13" s="47">
        <f t="shared" si="0"/>
        <v>0.25870646766169153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2.75" x14ac:dyDescent="0.2">
      <c r="A14" s="19"/>
      <c r="B14" s="20">
        <v>44348</v>
      </c>
      <c r="C14" s="21">
        <v>18</v>
      </c>
      <c r="D14" s="37">
        <f t="shared" si="1"/>
        <v>920</v>
      </c>
      <c r="E14" s="21">
        <v>372</v>
      </c>
      <c r="F14" s="21">
        <v>225</v>
      </c>
      <c r="G14" s="21">
        <v>0</v>
      </c>
      <c r="H14" s="22">
        <v>21</v>
      </c>
      <c r="I14" s="21">
        <v>87</v>
      </c>
      <c r="J14" s="37">
        <f t="shared" si="6"/>
        <v>126</v>
      </c>
      <c r="K14" s="32">
        <f t="shared" si="2"/>
        <v>246</v>
      </c>
      <c r="L14" s="34">
        <f t="shared" si="3"/>
        <v>351</v>
      </c>
      <c r="M14" s="18">
        <f t="shared" si="4"/>
        <v>1306</v>
      </c>
      <c r="N14" s="45">
        <f t="shared" si="5"/>
        <v>386</v>
      </c>
      <c r="O14" s="47">
        <f t="shared" si="0"/>
        <v>0.33870967741935482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2.75" x14ac:dyDescent="0.2">
      <c r="A15" s="19"/>
      <c r="B15" s="20">
        <v>44378</v>
      </c>
      <c r="C15" s="21">
        <v>13</v>
      </c>
      <c r="D15" s="37">
        <f t="shared" si="1"/>
        <v>907</v>
      </c>
      <c r="E15" s="21">
        <v>273</v>
      </c>
      <c r="F15" s="21">
        <v>169</v>
      </c>
      <c r="G15" s="21">
        <v>3</v>
      </c>
      <c r="H15" s="22">
        <v>12</v>
      </c>
      <c r="I15" s="21">
        <v>82</v>
      </c>
      <c r="J15" s="37">
        <f t="shared" si="6"/>
        <v>89</v>
      </c>
      <c r="K15" s="32">
        <f t="shared" si="2"/>
        <v>184</v>
      </c>
      <c r="L15" s="34">
        <f t="shared" si="3"/>
        <v>279</v>
      </c>
      <c r="M15" s="18">
        <f t="shared" si="4"/>
        <v>1300</v>
      </c>
      <c r="N15" s="45">
        <f t="shared" si="5"/>
        <v>393</v>
      </c>
      <c r="O15" s="47">
        <f t="shared" si="0"/>
        <v>0.32600732600732601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2.75" x14ac:dyDescent="0.2">
      <c r="A16" s="19"/>
      <c r="B16" s="20">
        <v>44409</v>
      </c>
      <c r="C16" s="21">
        <v>6</v>
      </c>
      <c r="D16" s="37">
        <f t="shared" si="1"/>
        <v>901</v>
      </c>
      <c r="E16" s="21">
        <v>461</v>
      </c>
      <c r="F16" s="21">
        <v>272</v>
      </c>
      <c r="G16" s="21">
        <v>0</v>
      </c>
      <c r="H16" s="22">
        <v>11</v>
      </c>
      <c r="I16" s="21">
        <v>86</v>
      </c>
      <c r="J16" s="37">
        <f t="shared" si="6"/>
        <v>178</v>
      </c>
      <c r="K16" s="32">
        <f t="shared" si="2"/>
        <v>283</v>
      </c>
      <c r="L16" s="34">
        <f t="shared" si="3"/>
        <v>375</v>
      </c>
      <c r="M16" s="18">
        <f t="shared" si="4"/>
        <v>1386</v>
      </c>
      <c r="N16" s="45">
        <f t="shared" si="5"/>
        <v>485</v>
      </c>
      <c r="O16" s="47">
        <f t="shared" si="0"/>
        <v>0.38611713665943603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2.75" x14ac:dyDescent="0.2">
      <c r="A17" s="19"/>
      <c r="B17" s="20">
        <v>44440</v>
      </c>
      <c r="C17" s="21">
        <v>9</v>
      </c>
      <c r="D17" s="37">
        <f t="shared" si="1"/>
        <v>892</v>
      </c>
      <c r="E17" s="21">
        <v>361</v>
      </c>
      <c r="F17" s="21">
        <v>218</v>
      </c>
      <c r="G17" s="21">
        <v>2</v>
      </c>
      <c r="H17" s="22">
        <v>9</v>
      </c>
      <c r="I17" s="21">
        <v>113</v>
      </c>
      <c r="J17" s="37">
        <f t="shared" si="6"/>
        <v>132</v>
      </c>
      <c r="K17" s="32">
        <f t="shared" si="2"/>
        <v>229</v>
      </c>
      <c r="L17" s="34">
        <f t="shared" si="3"/>
        <v>351</v>
      </c>
      <c r="M17" s="18">
        <f t="shared" si="4"/>
        <v>1396</v>
      </c>
      <c r="N17" s="45">
        <f t="shared" si="5"/>
        <v>504</v>
      </c>
      <c r="O17" s="47">
        <f t="shared" si="0"/>
        <v>0.36565096952908588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2.75" x14ac:dyDescent="0.2">
      <c r="A18" s="19"/>
      <c r="B18" s="20">
        <v>44470</v>
      </c>
      <c r="C18" s="21">
        <v>17</v>
      </c>
      <c r="D18" s="37">
        <f t="shared" si="1"/>
        <v>875</v>
      </c>
      <c r="E18" s="21">
        <v>318</v>
      </c>
      <c r="F18" s="21">
        <v>188</v>
      </c>
      <c r="G18" s="21">
        <v>6</v>
      </c>
      <c r="H18" s="22">
        <v>10</v>
      </c>
      <c r="I18" s="21">
        <v>113</v>
      </c>
      <c r="J18" s="37">
        <f t="shared" si="6"/>
        <v>114</v>
      </c>
      <c r="K18" s="32">
        <f t="shared" si="2"/>
        <v>204</v>
      </c>
      <c r="L18" s="34">
        <f t="shared" si="3"/>
        <v>334</v>
      </c>
      <c r="M18" s="18">
        <f t="shared" si="4"/>
        <v>1380</v>
      </c>
      <c r="N18" s="45">
        <f t="shared" si="5"/>
        <v>505</v>
      </c>
      <c r="O18" s="47">
        <f t="shared" si="0"/>
        <v>0.35849056603773582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.75" x14ac:dyDescent="0.2">
      <c r="A19" s="19"/>
      <c r="B19" s="20">
        <v>44501</v>
      </c>
      <c r="C19" s="21">
        <v>15</v>
      </c>
      <c r="D19" s="37">
        <f t="shared" si="1"/>
        <v>860</v>
      </c>
      <c r="E19" s="21">
        <v>448</v>
      </c>
      <c r="F19" s="21">
        <v>267</v>
      </c>
      <c r="G19" s="21">
        <v>0</v>
      </c>
      <c r="H19" s="22">
        <v>5</v>
      </c>
      <c r="I19" s="21">
        <v>74</v>
      </c>
      <c r="J19" s="37">
        <f t="shared" si="6"/>
        <v>176</v>
      </c>
      <c r="K19" s="32">
        <f t="shared" si="2"/>
        <v>272</v>
      </c>
      <c r="L19" s="34">
        <f t="shared" si="3"/>
        <v>361</v>
      </c>
      <c r="M19" s="18">
        <f t="shared" si="4"/>
        <v>1467</v>
      </c>
      <c r="N19" s="45">
        <f t="shared" si="5"/>
        <v>607</v>
      </c>
      <c r="O19" s="47">
        <f t="shared" si="0"/>
        <v>0.39285714285714285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2.75" x14ac:dyDescent="0.2">
      <c r="A20" s="19"/>
      <c r="B20" s="20">
        <v>44531</v>
      </c>
      <c r="C20" s="21">
        <v>7</v>
      </c>
      <c r="D20" s="37">
        <f t="shared" si="1"/>
        <v>853</v>
      </c>
      <c r="E20" s="21">
        <v>392</v>
      </c>
      <c r="F20" s="21">
        <v>259</v>
      </c>
      <c r="G20" s="21">
        <v>4</v>
      </c>
      <c r="H20" s="22">
        <v>0</v>
      </c>
      <c r="I20" s="21">
        <v>101</v>
      </c>
      <c r="J20" s="37">
        <f t="shared" si="6"/>
        <v>129</v>
      </c>
      <c r="K20" s="32">
        <f t="shared" si="2"/>
        <v>263</v>
      </c>
      <c r="L20" s="34">
        <f t="shared" si="3"/>
        <v>371</v>
      </c>
      <c r="M20" s="18">
        <f t="shared" si="4"/>
        <v>1488</v>
      </c>
      <c r="N20" s="45">
        <f t="shared" si="5"/>
        <v>635</v>
      </c>
      <c r="O20" s="47">
        <f t="shared" si="0"/>
        <v>0.32908163265306123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2.75" x14ac:dyDescent="0.2">
      <c r="A21" s="19"/>
      <c r="B21" s="20">
        <v>44562</v>
      </c>
      <c r="C21" s="21">
        <v>11</v>
      </c>
      <c r="D21" s="37">
        <f t="shared" si="1"/>
        <v>842</v>
      </c>
      <c r="E21" s="21">
        <v>241</v>
      </c>
      <c r="F21" s="21">
        <v>140</v>
      </c>
      <c r="G21" s="21">
        <v>3</v>
      </c>
      <c r="H21" s="22">
        <v>0</v>
      </c>
      <c r="I21" s="21">
        <v>66</v>
      </c>
      <c r="J21" s="37">
        <f t="shared" si="6"/>
        <v>98</v>
      </c>
      <c r="K21" s="32">
        <f t="shared" si="2"/>
        <v>143</v>
      </c>
      <c r="L21" s="34">
        <f t="shared" si="3"/>
        <v>220</v>
      </c>
      <c r="M21" s="18">
        <f t="shared" si="4"/>
        <v>1509</v>
      </c>
      <c r="N21" s="45">
        <f t="shared" si="5"/>
        <v>667</v>
      </c>
      <c r="O21" s="47">
        <f t="shared" si="0"/>
        <v>0.40663900414937759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2.75" x14ac:dyDescent="0.2">
      <c r="A22" s="19"/>
      <c r="B22" s="20">
        <v>44593</v>
      </c>
      <c r="C22" s="21">
        <v>23</v>
      </c>
      <c r="D22" s="37">
        <f t="shared" si="1"/>
        <v>819</v>
      </c>
      <c r="E22" s="21">
        <v>498</v>
      </c>
      <c r="F22" s="21">
        <v>362</v>
      </c>
      <c r="G22" s="21">
        <v>0</v>
      </c>
      <c r="H22" s="22">
        <v>0</v>
      </c>
      <c r="I22" s="21">
        <v>136</v>
      </c>
      <c r="J22" s="37">
        <f t="shared" si="6"/>
        <v>136</v>
      </c>
      <c r="K22" s="32">
        <f t="shared" si="2"/>
        <v>362</v>
      </c>
      <c r="L22" s="34">
        <f t="shared" si="3"/>
        <v>521</v>
      </c>
      <c r="M22" s="18">
        <f t="shared" si="4"/>
        <v>1486</v>
      </c>
      <c r="N22" s="45">
        <f t="shared" si="5"/>
        <v>667</v>
      </c>
      <c r="O22" s="47">
        <f t="shared" si="0"/>
        <v>0.27309236947791166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2.75" x14ac:dyDescent="0.2">
      <c r="A23" s="19"/>
      <c r="B23" s="20">
        <v>44621</v>
      </c>
      <c r="C23" s="21">
        <v>42</v>
      </c>
      <c r="D23" s="37">
        <f t="shared" si="1"/>
        <v>777</v>
      </c>
      <c r="E23" s="21">
        <v>549</v>
      </c>
      <c r="F23" s="21">
        <v>368</v>
      </c>
      <c r="G23" s="21">
        <v>0</v>
      </c>
      <c r="H23" s="22">
        <v>0</v>
      </c>
      <c r="I23" s="21">
        <v>144</v>
      </c>
      <c r="J23" s="37">
        <f t="shared" si="6"/>
        <v>181</v>
      </c>
      <c r="K23" s="32">
        <f t="shared" si="2"/>
        <v>368</v>
      </c>
      <c r="L23" s="34">
        <f t="shared" si="3"/>
        <v>554</v>
      </c>
      <c r="M23" s="18">
        <f t="shared" si="4"/>
        <v>1481</v>
      </c>
      <c r="N23" s="45">
        <f t="shared" si="5"/>
        <v>704</v>
      </c>
      <c r="O23" s="47">
        <f t="shared" si="0"/>
        <v>0.32969034608378872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2.75" x14ac:dyDescent="0.2">
      <c r="A24" s="19"/>
      <c r="B24" s="20">
        <v>44652</v>
      </c>
      <c r="C24" s="21">
        <v>20</v>
      </c>
      <c r="D24" s="37">
        <f t="shared" si="1"/>
        <v>757</v>
      </c>
      <c r="E24" s="21">
        <v>441</v>
      </c>
      <c r="F24" s="21">
        <v>301</v>
      </c>
      <c r="G24" s="49">
        <v>5</v>
      </c>
      <c r="H24" s="22">
        <v>0</v>
      </c>
      <c r="I24" s="21">
        <v>137</v>
      </c>
      <c r="J24" s="37">
        <f>E24-F24-G24-H24</f>
        <v>135</v>
      </c>
      <c r="K24" s="32">
        <f t="shared" si="2"/>
        <v>306</v>
      </c>
      <c r="L24" s="34">
        <f>SUM(C24,F24,G24,I24,H24)</f>
        <v>463</v>
      </c>
      <c r="M24" s="18">
        <f>M23+E24-L24</f>
        <v>1459</v>
      </c>
      <c r="N24" s="45">
        <f t="shared" si="5"/>
        <v>702</v>
      </c>
      <c r="O24" s="47">
        <f t="shared" si="0"/>
        <v>0.30612244897959184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.75" x14ac:dyDescent="0.2">
      <c r="A25" s="19"/>
      <c r="B25" s="20">
        <v>44682</v>
      </c>
      <c r="C25" s="21">
        <v>7</v>
      </c>
      <c r="D25" s="37">
        <f t="shared" si="1"/>
        <v>750</v>
      </c>
      <c r="E25" s="49">
        <v>534</v>
      </c>
      <c r="F25" s="49">
        <v>383</v>
      </c>
      <c r="G25" s="49">
        <v>0</v>
      </c>
      <c r="H25" s="22">
        <v>0</v>
      </c>
      <c r="I25" s="49">
        <v>110</v>
      </c>
      <c r="J25" s="37">
        <f t="shared" ref="J25:J43" si="7">E25-F25-G25-H25</f>
        <v>151</v>
      </c>
      <c r="K25" s="32">
        <f t="shared" ref="K25:K43" si="8">E25-J25</f>
        <v>383</v>
      </c>
      <c r="L25" s="34">
        <f t="shared" ref="L25:L43" si="9">SUM(C25,F25,G25,I25,H25)</f>
        <v>500</v>
      </c>
      <c r="M25" s="18">
        <f t="shared" ref="M25:M42" si="10">M24+E25-L25</f>
        <v>1493</v>
      </c>
      <c r="N25" s="45">
        <f t="shared" ref="N25:N42" si="11">J25-I25+N24</f>
        <v>743</v>
      </c>
      <c r="O25" s="47">
        <f t="shared" ref="O25:O43" si="12">J25/E25</f>
        <v>0.28277153558052437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.75" x14ac:dyDescent="0.2">
      <c r="A26" s="19"/>
      <c r="B26" s="20">
        <v>44713</v>
      </c>
      <c r="C26" s="21">
        <v>16</v>
      </c>
      <c r="D26" s="37">
        <f t="shared" si="1"/>
        <v>734</v>
      </c>
      <c r="E26" s="49">
        <v>516</v>
      </c>
      <c r="F26" s="49">
        <v>360</v>
      </c>
      <c r="G26" s="49">
        <v>0</v>
      </c>
      <c r="H26" s="22">
        <v>0</v>
      </c>
      <c r="I26" s="49">
        <v>131</v>
      </c>
      <c r="J26" s="37">
        <f t="shared" si="7"/>
        <v>156</v>
      </c>
      <c r="K26" s="32">
        <f t="shared" si="8"/>
        <v>360</v>
      </c>
      <c r="L26" s="34">
        <f t="shared" si="9"/>
        <v>507</v>
      </c>
      <c r="M26" s="18">
        <f t="shared" si="10"/>
        <v>1502</v>
      </c>
      <c r="N26" s="45">
        <f t="shared" si="11"/>
        <v>768</v>
      </c>
      <c r="O26" s="47">
        <f t="shared" si="12"/>
        <v>0.30232558139534882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.75" x14ac:dyDescent="0.2">
      <c r="A27" s="19"/>
      <c r="B27" s="20">
        <v>44743</v>
      </c>
      <c r="C27" s="21">
        <v>19</v>
      </c>
      <c r="D27" s="37">
        <f t="shared" si="1"/>
        <v>715</v>
      </c>
      <c r="E27" s="49">
        <v>290</v>
      </c>
      <c r="F27" s="49">
        <v>213</v>
      </c>
      <c r="G27" s="49">
        <v>18</v>
      </c>
      <c r="H27" s="51">
        <v>0</v>
      </c>
      <c r="I27" s="49">
        <v>95</v>
      </c>
      <c r="J27" s="37">
        <f t="shared" si="7"/>
        <v>59</v>
      </c>
      <c r="K27" s="32">
        <f t="shared" si="8"/>
        <v>231</v>
      </c>
      <c r="L27" s="34">
        <f t="shared" si="9"/>
        <v>345</v>
      </c>
      <c r="M27" s="18">
        <f t="shared" si="10"/>
        <v>1447</v>
      </c>
      <c r="N27" s="45">
        <f t="shared" si="11"/>
        <v>732</v>
      </c>
      <c r="O27" s="47">
        <f t="shared" si="12"/>
        <v>0.20344827586206896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.75" x14ac:dyDescent="0.2">
      <c r="A28" s="19"/>
      <c r="B28" s="20">
        <v>44774</v>
      </c>
      <c r="C28" s="49">
        <v>9</v>
      </c>
      <c r="D28" s="37">
        <f t="shared" si="1"/>
        <v>706</v>
      </c>
      <c r="E28" s="49">
        <v>559</v>
      </c>
      <c r="F28" s="49">
        <v>357</v>
      </c>
      <c r="G28" s="50">
        <v>18</v>
      </c>
      <c r="H28" s="51">
        <v>0</v>
      </c>
      <c r="I28" s="50">
        <v>95</v>
      </c>
      <c r="J28" s="37">
        <f t="shared" si="7"/>
        <v>184</v>
      </c>
      <c r="K28" s="32">
        <f t="shared" si="8"/>
        <v>375</v>
      </c>
      <c r="L28" s="34">
        <f t="shared" si="9"/>
        <v>479</v>
      </c>
      <c r="M28" s="18">
        <f t="shared" si="10"/>
        <v>1527</v>
      </c>
      <c r="N28" s="45">
        <f t="shared" si="11"/>
        <v>821</v>
      </c>
      <c r="O28" s="47">
        <f t="shared" si="12"/>
        <v>0.3291592128801431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.75" x14ac:dyDescent="0.2">
      <c r="A29" s="19"/>
      <c r="B29" s="20">
        <v>44805</v>
      </c>
      <c r="C29" s="49">
        <v>19</v>
      </c>
      <c r="D29" s="37">
        <f t="shared" si="1"/>
        <v>687</v>
      </c>
      <c r="E29" s="49">
        <v>496</v>
      </c>
      <c r="F29" s="49">
        <v>343</v>
      </c>
      <c r="G29" s="50">
        <v>1</v>
      </c>
      <c r="H29" s="51">
        <v>0</v>
      </c>
      <c r="I29" s="50">
        <v>134</v>
      </c>
      <c r="J29" s="37">
        <f t="shared" si="7"/>
        <v>152</v>
      </c>
      <c r="K29" s="32">
        <f t="shared" si="8"/>
        <v>344</v>
      </c>
      <c r="L29" s="34">
        <f t="shared" si="9"/>
        <v>497</v>
      </c>
      <c r="M29" s="18">
        <f t="shared" si="10"/>
        <v>1526</v>
      </c>
      <c r="N29" s="45">
        <f t="shared" si="11"/>
        <v>839</v>
      </c>
      <c r="O29" s="47">
        <f t="shared" si="12"/>
        <v>0.30645161290322581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.75" x14ac:dyDescent="0.2">
      <c r="A30" s="19"/>
      <c r="B30" s="20">
        <v>44835</v>
      </c>
      <c r="C30" s="49">
        <v>12</v>
      </c>
      <c r="D30" s="37">
        <f t="shared" si="1"/>
        <v>675</v>
      </c>
      <c r="E30" s="49">
        <v>407</v>
      </c>
      <c r="F30" s="49">
        <v>295</v>
      </c>
      <c r="G30" s="50">
        <v>28</v>
      </c>
      <c r="H30" s="51">
        <v>0</v>
      </c>
      <c r="I30" s="50">
        <v>132</v>
      </c>
      <c r="J30" s="37">
        <f t="shared" si="7"/>
        <v>84</v>
      </c>
      <c r="K30" s="32">
        <f t="shared" si="8"/>
        <v>323</v>
      </c>
      <c r="L30" s="34">
        <f t="shared" si="9"/>
        <v>467</v>
      </c>
      <c r="M30" s="18">
        <f t="shared" si="10"/>
        <v>1466</v>
      </c>
      <c r="N30" s="45">
        <f t="shared" si="11"/>
        <v>791</v>
      </c>
      <c r="O30" s="47">
        <f t="shared" si="12"/>
        <v>0.20638820638820637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.75" x14ac:dyDescent="0.2">
      <c r="A31" s="19"/>
      <c r="B31" s="20">
        <v>44866</v>
      </c>
      <c r="C31" s="49">
        <v>13</v>
      </c>
      <c r="D31" s="37">
        <f t="shared" si="1"/>
        <v>662</v>
      </c>
      <c r="E31" s="49">
        <v>694</v>
      </c>
      <c r="F31" s="49">
        <v>382</v>
      </c>
      <c r="G31" s="50">
        <v>19</v>
      </c>
      <c r="H31" s="51">
        <v>0</v>
      </c>
      <c r="I31" s="50">
        <v>117</v>
      </c>
      <c r="J31" s="37">
        <f t="shared" si="7"/>
        <v>293</v>
      </c>
      <c r="K31" s="32">
        <f t="shared" si="8"/>
        <v>401</v>
      </c>
      <c r="L31" s="34">
        <f t="shared" si="9"/>
        <v>531</v>
      </c>
      <c r="M31" s="18">
        <f t="shared" si="10"/>
        <v>1629</v>
      </c>
      <c r="N31" s="45">
        <f t="shared" si="11"/>
        <v>967</v>
      </c>
      <c r="O31" s="47">
        <f t="shared" si="12"/>
        <v>0.42219020172910665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75" x14ac:dyDescent="0.2">
      <c r="A32" s="19"/>
      <c r="B32" s="20">
        <v>44896</v>
      </c>
      <c r="C32" s="49">
        <v>316</v>
      </c>
      <c r="D32" s="37">
        <f t="shared" si="1"/>
        <v>346</v>
      </c>
      <c r="E32" s="49">
        <v>532</v>
      </c>
      <c r="F32" s="49">
        <v>348</v>
      </c>
      <c r="G32" s="50">
        <v>6</v>
      </c>
      <c r="H32" s="51">
        <v>0</v>
      </c>
      <c r="I32" s="50">
        <v>129</v>
      </c>
      <c r="J32" s="37">
        <f t="shared" si="7"/>
        <v>178</v>
      </c>
      <c r="K32" s="32">
        <f t="shared" si="8"/>
        <v>354</v>
      </c>
      <c r="L32" s="34">
        <f t="shared" si="9"/>
        <v>799</v>
      </c>
      <c r="M32" s="18">
        <f t="shared" si="10"/>
        <v>1362</v>
      </c>
      <c r="N32" s="45">
        <f t="shared" si="11"/>
        <v>1016</v>
      </c>
      <c r="O32" s="47">
        <f t="shared" si="12"/>
        <v>0.33458646616541354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75" x14ac:dyDescent="0.2">
      <c r="A33" s="19"/>
      <c r="B33" s="20">
        <v>44927</v>
      </c>
      <c r="C33" s="50">
        <v>12</v>
      </c>
      <c r="D33" s="37">
        <f t="shared" si="1"/>
        <v>334</v>
      </c>
      <c r="E33" s="50">
        <v>328</v>
      </c>
      <c r="F33" s="50">
        <v>227</v>
      </c>
      <c r="G33" s="50">
        <v>26</v>
      </c>
      <c r="H33" s="51">
        <v>0</v>
      </c>
      <c r="I33" s="50">
        <v>142</v>
      </c>
      <c r="J33" s="37">
        <f t="shared" si="7"/>
        <v>75</v>
      </c>
      <c r="K33" s="32">
        <f t="shared" si="8"/>
        <v>253</v>
      </c>
      <c r="L33" s="34">
        <f t="shared" si="9"/>
        <v>407</v>
      </c>
      <c r="M33" s="18">
        <f t="shared" si="10"/>
        <v>1283</v>
      </c>
      <c r="N33" s="45">
        <f t="shared" si="11"/>
        <v>949</v>
      </c>
      <c r="O33" s="47">
        <f t="shared" si="12"/>
        <v>0.22865853658536586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75" x14ac:dyDescent="0.2">
      <c r="A34" s="19"/>
      <c r="B34" s="20">
        <v>44958</v>
      </c>
      <c r="C34" s="50">
        <v>25</v>
      </c>
      <c r="D34" s="37">
        <f t="shared" si="1"/>
        <v>309</v>
      </c>
      <c r="E34" s="50">
        <v>581</v>
      </c>
      <c r="F34" s="50">
        <v>392</v>
      </c>
      <c r="G34" s="50">
        <v>13</v>
      </c>
      <c r="H34" s="51">
        <v>0</v>
      </c>
      <c r="I34" s="50">
        <v>135</v>
      </c>
      <c r="J34" s="37">
        <f t="shared" si="7"/>
        <v>176</v>
      </c>
      <c r="K34" s="32">
        <f t="shared" si="8"/>
        <v>405</v>
      </c>
      <c r="L34" s="34">
        <f t="shared" si="9"/>
        <v>565</v>
      </c>
      <c r="M34" s="18">
        <f t="shared" si="10"/>
        <v>1299</v>
      </c>
      <c r="N34" s="45">
        <f t="shared" si="11"/>
        <v>990</v>
      </c>
      <c r="O34" s="47">
        <f t="shared" si="12"/>
        <v>0.30292598967297762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75" x14ac:dyDescent="0.2">
      <c r="A35" s="19"/>
      <c r="B35" s="20">
        <v>44986</v>
      </c>
      <c r="C35" s="50">
        <v>12</v>
      </c>
      <c r="D35" s="37">
        <f t="shared" si="1"/>
        <v>297</v>
      </c>
      <c r="E35" s="50">
        <v>776</v>
      </c>
      <c r="F35" s="50">
        <v>533</v>
      </c>
      <c r="G35" s="50">
        <v>21</v>
      </c>
      <c r="H35" s="51">
        <v>0</v>
      </c>
      <c r="I35" s="50">
        <v>210</v>
      </c>
      <c r="J35" s="37">
        <f t="shared" si="7"/>
        <v>222</v>
      </c>
      <c r="K35" s="32">
        <f t="shared" si="8"/>
        <v>554</v>
      </c>
      <c r="L35" s="34">
        <f t="shared" si="9"/>
        <v>776</v>
      </c>
      <c r="M35" s="18">
        <f t="shared" si="10"/>
        <v>1299</v>
      </c>
      <c r="N35" s="45">
        <f t="shared" si="11"/>
        <v>1002</v>
      </c>
      <c r="O35" s="47">
        <f t="shared" si="12"/>
        <v>0.28608247422680411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75" x14ac:dyDescent="0.2">
      <c r="A36" s="19"/>
      <c r="B36" s="20">
        <v>45017</v>
      </c>
      <c r="C36" s="50">
        <v>11</v>
      </c>
      <c r="D36" s="37">
        <f t="shared" si="1"/>
        <v>286</v>
      </c>
      <c r="E36" s="50">
        <v>680</v>
      </c>
      <c r="F36" s="49">
        <v>390</v>
      </c>
      <c r="G36" s="50">
        <v>46</v>
      </c>
      <c r="H36" s="51">
        <v>0</v>
      </c>
      <c r="I36" s="50">
        <v>183</v>
      </c>
      <c r="J36" s="37">
        <f t="shared" si="7"/>
        <v>244</v>
      </c>
      <c r="K36" s="32">
        <f t="shared" si="8"/>
        <v>436</v>
      </c>
      <c r="L36" s="34">
        <f t="shared" si="9"/>
        <v>630</v>
      </c>
      <c r="M36" s="18">
        <f t="shared" si="10"/>
        <v>1349</v>
      </c>
      <c r="N36" s="45">
        <f t="shared" si="11"/>
        <v>1063</v>
      </c>
      <c r="O36" s="47">
        <f t="shared" si="12"/>
        <v>0.35882352941176471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75" x14ac:dyDescent="0.2">
      <c r="A37" s="19"/>
      <c r="B37" s="20">
        <v>45047</v>
      </c>
      <c r="C37" s="50">
        <v>24</v>
      </c>
      <c r="D37" s="37">
        <f t="shared" si="1"/>
        <v>262</v>
      </c>
      <c r="E37" s="50">
        <v>817</v>
      </c>
      <c r="F37" s="50">
        <v>512</v>
      </c>
      <c r="G37" s="50">
        <v>13</v>
      </c>
      <c r="H37" s="51">
        <v>0</v>
      </c>
      <c r="I37" s="50">
        <v>197</v>
      </c>
      <c r="J37" s="37">
        <f t="shared" si="7"/>
        <v>292</v>
      </c>
      <c r="K37" s="32">
        <f t="shared" si="8"/>
        <v>525</v>
      </c>
      <c r="L37" s="34">
        <f t="shared" si="9"/>
        <v>746</v>
      </c>
      <c r="M37" s="18">
        <f t="shared" si="10"/>
        <v>1420</v>
      </c>
      <c r="N37" s="45">
        <f t="shared" si="11"/>
        <v>1158</v>
      </c>
      <c r="O37" s="47">
        <f t="shared" si="12"/>
        <v>0.35740514075887392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75" x14ac:dyDescent="0.2">
      <c r="A38" s="19"/>
      <c r="B38" s="20">
        <v>45078</v>
      </c>
      <c r="C38" s="50">
        <v>25</v>
      </c>
      <c r="D38" s="37">
        <f t="shared" si="1"/>
        <v>237</v>
      </c>
      <c r="E38" s="50">
        <v>922</v>
      </c>
      <c r="F38" s="50">
        <v>540</v>
      </c>
      <c r="G38" s="50">
        <v>24</v>
      </c>
      <c r="H38" s="51">
        <v>0</v>
      </c>
      <c r="I38" s="50">
        <v>187</v>
      </c>
      <c r="J38" s="37">
        <f t="shared" si="7"/>
        <v>358</v>
      </c>
      <c r="K38" s="32">
        <f t="shared" si="8"/>
        <v>564</v>
      </c>
      <c r="L38" s="34">
        <f t="shared" si="9"/>
        <v>776</v>
      </c>
      <c r="M38" s="18">
        <f t="shared" si="10"/>
        <v>1566</v>
      </c>
      <c r="N38" s="45">
        <f t="shared" si="11"/>
        <v>1329</v>
      </c>
      <c r="O38" s="47">
        <f t="shared" si="12"/>
        <v>0.38828633405639912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75" x14ac:dyDescent="0.2">
      <c r="A39" s="19"/>
      <c r="B39" s="20">
        <v>45108</v>
      </c>
      <c r="C39" s="50">
        <v>8</v>
      </c>
      <c r="D39" s="37">
        <f t="shared" si="1"/>
        <v>229</v>
      </c>
      <c r="E39" s="50">
        <v>552</v>
      </c>
      <c r="F39" s="50">
        <v>354</v>
      </c>
      <c r="G39" s="50">
        <v>11</v>
      </c>
      <c r="H39" s="51">
        <v>0</v>
      </c>
      <c r="I39" s="50">
        <v>197</v>
      </c>
      <c r="J39" s="37">
        <f t="shared" si="7"/>
        <v>187</v>
      </c>
      <c r="K39" s="32">
        <f t="shared" si="8"/>
        <v>365</v>
      </c>
      <c r="L39" s="34">
        <f t="shared" si="9"/>
        <v>570</v>
      </c>
      <c r="M39" s="18">
        <f t="shared" si="10"/>
        <v>1548</v>
      </c>
      <c r="N39" s="45">
        <f t="shared" si="11"/>
        <v>1319</v>
      </c>
      <c r="O39" s="47">
        <f t="shared" si="12"/>
        <v>0.33876811594202899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75" x14ac:dyDescent="0.2">
      <c r="A40" s="19"/>
      <c r="B40" s="20">
        <v>45139</v>
      </c>
      <c r="C40" s="50">
        <v>6</v>
      </c>
      <c r="D40" s="37">
        <f t="shared" si="1"/>
        <v>223</v>
      </c>
      <c r="E40" s="50">
        <v>831</v>
      </c>
      <c r="F40" s="50">
        <v>531</v>
      </c>
      <c r="G40" s="50">
        <v>14</v>
      </c>
      <c r="H40" s="51">
        <v>0</v>
      </c>
      <c r="I40" s="50">
        <v>188</v>
      </c>
      <c r="J40" s="37">
        <f t="shared" si="7"/>
        <v>286</v>
      </c>
      <c r="K40" s="32">
        <f t="shared" si="8"/>
        <v>545</v>
      </c>
      <c r="L40" s="34">
        <f t="shared" si="9"/>
        <v>739</v>
      </c>
      <c r="M40" s="18">
        <f t="shared" si="10"/>
        <v>1640</v>
      </c>
      <c r="N40" s="45">
        <f t="shared" si="11"/>
        <v>1417</v>
      </c>
      <c r="O40" s="47">
        <f t="shared" si="12"/>
        <v>0.34416365824308065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75" x14ac:dyDescent="0.2">
      <c r="A41" s="19"/>
      <c r="B41" s="20">
        <v>45170</v>
      </c>
      <c r="C41" s="50">
        <v>6</v>
      </c>
      <c r="D41" s="37">
        <f t="shared" si="1"/>
        <v>217</v>
      </c>
      <c r="E41" s="50">
        <v>718</v>
      </c>
      <c r="F41" s="50">
        <v>459</v>
      </c>
      <c r="G41" s="50">
        <v>58</v>
      </c>
      <c r="H41" s="51">
        <v>0</v>
      </c>
      <c r="I41" s="50">
        <v>216</v>
      </c>
      <c r="J41" s="37">
        <f t="shared" si="7"/>
        <v>201</v>
      </c>
      <c r="K41" s="32">
        <f t="shared" si="8"/>
        <v>517</v>
      </c>
      <c r="L41" s="34">
        <f t="shared" si="9"/>
        <v>739</v>
      </c>
      <c r="M41" s="18">
        <f t="shared" si="10"/>
        <v>1619</v>
      </c>
      <c r="N41" s="45">
        <f t="shared" si="11"/>
        <v>1402</v>
      </c>
      <c r="O41" s="47">
        <f t="shared" si="12"/>
        <v>0.27994428969359331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75" x14ac:dyDescent="0.2">
      <c r="A42" s="19"/>
      <c r="B42" s="20">
        <v>45200</v>
      </c>
      <c r="C42" s="50">
        <v>11</v>
      </c>
      <c r="D42" s="37">
        <f t="shared" si="1"/>
        <v>206</v>
      </c>
      <c r="E42" s="50">
        <v>689</v>
      </c>
      <c r="F42" s="50">
        <v>433</v>
      </c>
      <c r="G42" s="50">
        <v>8</v>
      </c>
      <c r="H42" s="51">
        <v>0</v>
      </c>
      <c r="I42" s="50">
        <v>215</v>
      </c>
      <c r="J42" s="37">
        <f t="shared" si="7"/>
        <v>248</v>
      </c>
      <c r="K42" s="32">
        <f t="shared" si="8"/>
        <v>441</v>
      </c>
      <c r="L42" s="34">
        <f t="shared" si="9"/>
        <v>667</v>
      </c>
      <c r="M42" s="18">
        <f t="shared" si="10"/>
        <v>1641</v>
      </c>
      <c r="N42" s="45">
        <f t="shared" si="11"/>
        <v>1435</v>
      </c>
      <c r="O42" s="47">
        <f t="shared" si="12"/>
        <v>0.35994194484760522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75" x14ac:dyDescent="0.2">
      <c r="A43" s="19"/>
      <c r="B43" s="20">
        <v>45231</v>
      </c>
      <c r="C43" s="50">
        <v>5</v>
      </c>
      <c r="D43" s="37">
        <f>D42-C43</f>
        <v>201</v>
      </c>
      <c r="E43" s="50">
        <v>926</v>
      </c>
      <c r="F43" s="50">
        <v>544</v>
      </c>
      <c r="G43" s="50">
        <v>9</v>
      </c>
      <c r="H43" s="51">
        <v>0</v>
      </c>
      <c r="I43" s="50">
        <v>281</v>
      </c>
      <c r="J43" s="37">
        <f t="shared" si="7"/>
        <v>373</v>
      </c>
      <c r="K43" s="32">
        <f t="shared" si="8"/>
        <v>553</v>
      </c>
      <c r="L43" s="34">
        <f t="shared" si="9"/>
        <v>839</v>
      </c>
      <c r="M43" s="18">
        <f>M42+E43-L43</f>
        <v>1728</v>
      </c>
      <c r="N43" s="45">
        <f>J43-I43+N42</f>
        <v>1527</v>
      </c>
      <c r="O43" s="47">
        <f t="shared" si="12"/>
        <v>0.40280777537796975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75" x14ac:dyDescent="0.2">
      <c r="A44" s="19"/>
      <c r="B44" s="20">
        <v>45261</v>
      </c>
      <c r="C44" s="50">
        <v>48</v>
      </c>
      <c r="D44" s="37">
        <f t="shared" ref="D44:D53" si="13">D43-C44</f>
        <v>153</v>
      </c>
      <c r="E44" s="50">
        <v>701</v>
      </c>
      <c r="F44" s="50">
        <v>424</v>
      </c>
      <c r="G44" s="50">
        <v>8</v>
      </c>
      <c r="H44" s="51">
        <v>0</v>
      </c>
      <c r="I44" s="50">
        <v>277</v>
      </c>
      <c r="J44" s="37">
        <f t="shared" ref="J44:J53" si="14">E44-F44-G44-H44</f>
        <v>269</v>
      </c>
      <c r="K44" s="32">
        <f t="shared" ref="K44:K53" si="15">E44-J44</f>
        <v>432</v>
      </c>
      <c r="L44" s="34">
        <f t="shared" ref="L44:L53" si="16">SUM(C44,F44,G44,I44,H44)</f>
        <v>757</v>
      </c>
      <c r="M44" s="18">
        <f t="shared" ref="M44:M53" si="17">M43+E44-L44</f>
        <v>1672</v>
      </c>
      <c r="N44" s="45">
        <f t="shared" ref="N44:N53" si="18">J44-I44+N43</f>
        <v>1519</v>
      </c>
      <c r="O44" s="47">
        <f t="shared" ref="O44:O53" si="19">J44/E44</f>
        <v>0.38373751783166904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.75" x14ac:dyDescent="0.2">
      <c r="A45" s="19"/>
      <c r="B45" s="20">
        <v>45292</v>
      </c>
      <c r="C45" s="50">
        <v>88</v>
      </c>
      <c r="D45" s="37">
        <f t="shared" si="13"/>
        <v>65</v>
      </c>
      <c r="E45" s="50">
        <v>417</v>
      </c>
      <c r="F45" s="50">
        <v>282</v>
      </c>
      <c r="G45" s="50">
        <v>10</v>
      </c>
      <c r="H45" s="51">
        <v>0</v>
      </c>
      <c r="I45" s="50">
        <v>371</v>
      </c>
      <c r="J45" s="37">
        <f t="shared" si="14"/>
        <v>125</v>
      </c>
      <c r="K45" s="32">
        <f t="shared" si="15"/>
        <v>292</v>
      </c>
      <c r="L45" s="34">
        <f t="shared" si="16"/>
        <v>751</v>
      </c>
      <c r="M45" s="18">
        <f t="shared" si="17"/>
        <v>1338</v>
      </c>
      <c r="N45" s="45">
        <f t="shared" si="18"/>
        <v>1273</v>
      </c>
      <c r="O45" s="47">
        <f t="shared" si="19"/>
        <v>0.29976019184652281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75" x14ac:dyDescent="0.2">
      <c r="A46" s="19"/>
      <c r="B46" s="20">
        <v>45323</v>
      </c>
      <c r="C46" s="50">
        <v>8</v>
      </c>
      <c r="D46" s="37">
        <f t="shared" si="13"/>
        <v>57</v>
      </c>
      <c r="E46" s="50">
        <v>670</v>
      </c>
      <c r="F46" s="50">
        <v>455</v>
      </c>
      <c r="G46" s="50">
        <v>27</v>
      </c>
      <c r="H46" s="51">
        <v>0</v>
      </c>
      <c r="I46" s="50">
        <v>216</v>
      </c>
      <c r="J46" s="37">
        <f t="shared" si="14"/>
        <v>188</v>
      </c>
      <c r="K46" s="32">
        <f t="shared" si="15"/>
        <v>482</v>
      </c>
      <c r="L46" s="34">
        <f t="shared" si="16"/>
        <v>706</v>
      </c>
      <c r="M46" s="18">
        <f t="shared" si="17"/>
        <v>1302</v>
      </c>
      <c r="N46" s="45">
        <f t="shared" si="18"/>
        <v>1245</v>
      </c>
      <c r="O46" s="47">
        <f t="shared" si="19"/>
        <v>0.28059701492537314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75" x14ac:dyDescent="0.2">
      <c r="A47" s="19"/>
      <c r="B47" s="20">
        <v>45352</v>
      </c>
      <c r="C47" s="50">
        <v>1</v>
      </c>
      <c r="D47" s="37">
        <f t="shared" si="13"/>
        <v>56</v>
      </c>
      <c r="E47" s="50">
        <v>834</v>
      </c>
      <c r="F47" s="50">
        <v>555</v>
      </c>
      <c r="G47" s="50">
        <v>10</v>
      </c>
      <c r="H47" s="51">
        <v>0</v>
      </c>
      <c r="I47" s="50">
        <v>219</v>
      </c>
      <c r="J47" s="37">
        <f t="shared" si="14"/>
        <v>269</v>
      </c>
      <c r="K47" s="32">
        <f t="shared" si="15"/>
        <v>565</v>
      </c>
      <c r="L47" s="34">
        <f t="shared" si="16"/>
        <v>785</v>
      </c>
      <c r="M47" s="18">
        <f t="shared" si="17"/>
        <v>1351</v>
      </c>
      <c r="N47" s="45">
        <f t="shared" si="18"/>
        <v>1295</v>
      </c>
      <c r="O47" s="47">
        <f t="shared" si="19"/>
        <v>0.32254196642685851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75" x14ac:dyDescent="0.2">
      <c r="A48" s="19"/>
      <c r="B48" s="20">
        <v>45383</v>
      </c>
      <c r="C48" s="50">
        <v>0</v>
      </c>
      <c r="D48" s="37">
        <f t="shared" si="13"/>
        <v>56</v>
      </c>
      <c r="E48" s="50">
        <v>837</v>
      </c>
      <c r="F48" s="50">
        <v>521</v>
      </c>
      <c r="G48" s="50">
        <v>26</v>
      </c>
      <c r="H48" s="51">
        <v>0</v>
      </c>
      <c r="I48" s="50">
        <v>198</v>
      </c>
      <c r="J48" s="37">
        <f t="shared" si="14"/>
        <v>290</v>
      </c>
      <c r="K48" s="32">
        <f t="shared" si="15"/>
        <v>547</v>
      </c>
      <c r="L48" s="34">
        <f t="shared" si="16"/>
        <v>745</v>
      </c>
      <c r="M48" s="18">
        <f t="shared" si="17"/>
        <v>1443</v>
      </c>
      <c r="N48" s="45">
        <f t="shared" si="18"/>
        <v>1387</v>
      </c>
      <c r="O48" s="47">
        <f t="shared" si="19"/>
        <v>0.34647550776583036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75" x14ac:dyDescent="0.2">
      <c r="A49" s="19"/>
      <c r="B49" s="20">
        <v>45413</v>
      </c>
      <c r="C49" s="50">
        <v>3</v>
      </c>
      <c r="D49" s="37">
        <f t="shared" si="13"/>
        <v>53</v>
      </c>
      <c r="E49" s="50">
        <v>663</v>
      </c>
      <c r="F49" s="50">
        <v>425</v>
      </c>
      <c r="G49" s="50">
        <v>10</v>
      </c>
      <c r="H49" s="51">
        <v>0</v>
      </c>
      <c r="I49" s="50">
        <v>189</v>
      </c>
      <c r="J49" s="37">
        <f t="shared" si="14"/>
        <v>228</v>
      </c>
      <c r="K49" s="32">
        <f t="shared" si="15"/>
        <v>435</v>
      </c>
      <c r="L49" s="34">
        <f t="shared" si="16"/>
        <v>627</v>
      </c>
      <c r="M49" s="18">
        <f t="shared" si="17"/>
        <v>1479</v>
      </c>
      <c r="N49" s="45">
        <f t="shared" si="18"/>
        <v>1426</v>
      </c>
      <c r="O49" s="47">
        <f t="shared" si="19"/>
        <v>0.34389140271493213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.75" x14ac:dyDescent="0.2">
      <c r="A50" s="19"/>
      <c r="B50" s="20">
        <v>45444</v>
      </c>
      <c r="C50" s="50">
        <v>0</v>
      </c>
      <c r="D50" s="37">
        <f t="shared" si="13"/>
        <v>53</v>
      </c>
      <c r="E50" s="50">
        <v>693</v>
      </c>
      <c r="F50" s="50">
        <v>487</v>
      </c>
      <c r="G50" s="50">
        <v>28</v>
      </c>
      <c r="H50" s="51">
        <v>0</v>
      </c>
      <c r="I50" s="50">
        <v>210</v>
      </c>
      <c r="J50" s="37">
        <f t="shared" si="14"/>
        <v>178</v>
      </c>
      <c r="K50" s="32">
        <f t="shared" si="15"/>
        <v>515</v>
      </c>
      <c r="L50" s="34">
        <f t="shared" si="16"/>
        <v>725</v>
      </c>
      <c r="M50" s="18">
        <f t="shared" si="17"/>
        <v>1447</v>
      </c>
      <c r="N50" s="45">
        <f t="shared" si="18"/>
        <v>1394</v>
      </c>
      <c r="O50" s="47">
        <f t="shared" si="19"/>
        <v>0.25685425685425683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.75" x14ac:dyDescent="0.2">
      <c r="A51" s="19"/>
      <c r="B51" s="20">
        <v>45474</v>
      </c>
      <c r="C51" s="50">
        <v>0</v>
      </c>
      <c r="D51" s="37">
        <f t="shared" si="13"/>
        <v>53</v>
      </c>
      <c r="E51" s="50">
        <v>592</v>
      </c>
      <c r="F51" s="50">
        <v>364</v>
      </c>
      <c r="G51" s="50">
        <v>9</v>
      </c>
      <c r="H51" s="51">
        <v>0</v>
      </c>
      <c r="I51" s="50">
        <v>211</v>
      </c>
      <c r="J51" s="37">
        <f t="shared" si="14"/>
        <v>219</v>
      </c>
      <c r="K51" s="32">
        <f t="shared" si="15"/>
        <v>373</v>
      </c>
      <c r="L51" s="34">
        <f t="shared" si="16"/>
        <v>584</v>
      </c>
      <c r="M51" s="18">
        <f t="shared" si="17"/>
        <v>1455</v>
      </c>
      <c r="N51" s="45">
        <f t="shared" si="18"/>
        <v>1402</v>
      </c>
      <c r="O51" s="47">
        <f t="shared" si="19"/>
        <v>0.36993243243243246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.75" x14ac:dyDescent="0.2">
      <c r="A52" s="19"/>
      <c r="B52" s="20">
        <v>45505</v>
      </c>
      <c r="C52" s="50">
        <v>0</v>
      </c>
      <c r="D52" s="37">
        <f t="shared" si="13"/>
        <v>53</v>
      </c>
      <c r="E52" s="50">
        <v>698</v>
      </c>
      <c r="F52" s="50">
        <v>448</v>
      </c>
      <c r="G52" s="50">
        <v>4</v>
      </c>
      <c r="H52" s="51">
        <v>0</v>
      </c>
      <c r="I52" s="50">
        <v>210</v>
      </c>
      <c r="J52" s="37">
        <f t="shared" si="14"/>
        <v>246</v>
      </c>
      <c r="K52" s="32">
        <f t="shared" si="15"/>
        <v>452</v>
      </c>
      <c r="L52" s="34">
        <f t="shared" si="16"/>
        <v>662</v>
      </c>
      <c r="M52" s="18">
        <f t="shared" si="17"/>
        <v>1491</v>
      </c>
      <c r="N52" s="45">
        <f t="shared" si="18"/>
        <v>1438</v>
      </c>
      <c r="O52" s="47">
        <f t="shared" si="19"/>
        <v>0.3524355300859599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.75" x14ac:dyDescent="0.2">
      <c r="A53" s="19"/>
      <c r="B53" s="20">
        <v>45536</v>
      </c>
      <c r="C53" s="50">
        <v>0</v>
      </c>
      <c r="D53" s="37">
        <f t="shared" si="13"/>
        <v>53</v>
      </c>
      <c r="E53" s="50">
        <v>699</v>
      </c>
      <c r="F53" s="50">
        <v>454</v>
      </c>
      <c r="G53" s="50">
        <v>19</v>
      </c>
      <c r="H53" s="51">
        <v>0</v>
      </c>
      <c r="I53" s="50">
        <v>276</v>
      </c>
      <c r="J53" s="37">
        <f t="shared" si="14"/>
        <v>226</v>
      </c>
      <c r="K53" s="32">
        <f t="shared" si="15"/>
        <v>473</v>
      </c>
      <c r="L53" s="34">
        <f t="shared" si="16"/>
        <v>749</v>
      </c>
      <c r="M53" s="18">
        <f t="shared" si="17"/>
        <v>1441</v>
      </c>
      <c r="N53" s="45">
        <f t="shared" si="18"/>
        <v>1388</v>
      </c>
      <c r="O53" s="47">
        <f t="shared" si="19"/>
        <v>0.32331902718168815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.75" x14ac:dyDescent="0.2">
      <c r="A54" s="25"/>
      <c r="B54" s="25" t="s">
        <v>20</v>
      </c>
      <c r="C54" s="26">
        <f>SUM(C9:C53)</f>
        <v>1162</v>
      </c>
      <c r="D54" s="26"/>
      <c r="E54" s="26">
        <f>SUM(E9:E53)</f>
        <v>24757</v>
      </c>
      <c r="F54" s="26">
        <f>SUM(F9:F53)</f>
        <v>15743</v>
      </c>
      <c r="G54" s="26">
        <f>SUM(G9:G53)</f>
        <v>520</v>
      </c>
      <c r="H54" s="41">
        <f>SUM(H9:H53)</f>
        <v>230</v>
      </c>
      <c r="I54" s="26">
        <f>SUM(I9:I53)</f>
        <v>6876</v>
      </c>
      <c r="K54" s="26"/>
      <c r="L54" s="26">
        <f>SUM(C54,F54,G54,I54,H54)</f>
        <v>24531</v>
      </c>
      <c r="M54" s="26"/>
      <c r="N54" s="1"/>
      <c r="O54" s="1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75" x14ac:dyDescent="0.2">
      <c r="A55" s="1"/>
      <c r="B55" s="1"/>
      <c r="C55" s="1"/>
      <c r="D55" s="1"/>
      <c r="E55" s="24"/>
      <c r="F55" s="24"/>
      <c r="G55" s="1"/>
      <c r="H55" s="1"/>
      <c r="I55" s="1"/>
      <c r="J55" s="1"/>
      <c r="K55" s="1"/>
      <c r="L55" s="2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2.75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2.75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2.75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2.75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2.75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2.75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2.75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2.75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2.75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2.75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2.75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2.75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2.75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2.75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2.75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2.75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2.75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2.75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ht="12.75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12.75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12.75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ht="12.75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ht="12.75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ht="12.75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ht="12.75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ht="12.75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ht="12.75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ht="12.75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ht="12.75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ht="12.75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</sheetData>
  <mergeCells count="4">
    <mergeCell ref="C6:D6"/>
    <mergeCell ref="L6:M6"/>
    <mergeCell ref="C2:E2"/>
    <mergeCell ref="E6:K6"/>
  </mergeCells>
  <hyperlinks>
    <hyperlink ref="C4" r:id="rId1" display="https://gertiq.senado.gov.br/redmine/projects/projeto007/issues?utf8=%E2%9C%93&amp;set_filter=1&amp;sort=id%3Adesc&amp;f%5B%5D=status_id&amp;op%5Bstatus_id%5D=o&amp;f%5B%5D=created_on&amp;op%5Bcreated_on%5D=%3C%3D&amp;v%5Bcreated_on%5D%5B%5D=2020-12-31&amp;f%5B%5D=&amp;c%5B%5D=tracker&amp;c%5B%5D=status&amp;c%5B%5D=subject&amp;c%5B%5D=assigned_to&amp;c%5B%5D=spent_hours&amp;c%5B%5D=done_ratio&amp;c%5B%5D=cf_78&amp;group_by=status&amp;t%5B%5D=" xr:uid="{00000000-0004-0000-0000-000000000000}"/>
    <hyperlink ref="D4" r:id="rId2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D&amp;v%5Bcf_74%5D%5B%5D=2021-01-01&amp;f%5B%5D=&amp;c%5B%5D=tracker&amp;c%5B%5D=status&amp;c%5B%5D=subject&amp;c%5B%5D=assigned_to&amp;c%5B%5D=spent_hours&amp;c%5B%5D=done_ratio&amp;c%5B%5D=cf_78&amp;group_by=status&amp;t%5B%5D=" xr:uid="{00000000-0004-0000-0000-000001000000}"/>
    <hyperlink ref="C9" r:id="rId3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01-01&amp;v%5Bcf_74%5D%5B%5D=2021-01-31&amp;f%5B%5D=&amp;c%5B%5D=tracker&amp;c%5B%5D=status&amp;c%5B%5D=subject&amp;c%5B%5D=assigned_to&amp;c%5B%5D=spent_hours&amp;c%5B%5D=done_ratio&amp;c%5B%5D=cf_78&amp;group_by=status&amp;t%5B%5D=" xr:uid="{00000000-0004-0000-0000-000002000000}"/>
    <hyperlink ref="E9" r:id="rId4" display="https://gertiq.senado.gov.br/redmine/projects/projeto007/issues?utf8=%E2%9C%93&amp;set_filter=1&amp;sort=id%3Adesc&amp;f%5B%5D=created_on&amp;op%5Bcreated_on%5D=%3E%3C&amp;v%5Bcreated_on%5D%5B%5D=2021-01-01&amp;v%5Bcreated_on%5D%5B%5D=2021-01-31&amp;f%5B%5D=&amp;c%5B%5D=tracker&amp;c%5B%5D=status&amp;c%5B%5D=subject&amp;c%5B%5D=assigned_to&amp;c%5B%5D=spent_hours&amp;c%5B%5D=done_ratio&amp;c%5B%5D=cf_78&amp;group_by=status&amp;t%5B%5D=" xr:uid="{00000000-0004-0000-0000-000003000000}"/>
    <hyperlink ref="F9" r:id="rId5" display="https://gertiq.senado.gov.br/redmine/projects/projeto007/issues?utf8=%E2%9C%93&amp;set_filter=1&amp;sort=id%3Adesc&amp;f%5B%5D=created_on&amp;op%5Bcreated_on%5D=%3E%3C&amp;v%5Bcreated_on%5D%5B%5D=2021-01-01&amp;v%5Bcreated_on%5D%5B%5D=2021-01-31&amp;f%5B%5D=status_id&amp;op%5Bstatus_id%5D=c&amp;f%5B%5D=cf_74&amp;op%5Bcf_74%5D=%3E%3C&amp;v%5Bcf_74%5D%5B%5D=2021-01-01&amp;v%5Bcf_74%5D%5B%5D=2021-01-31&amp;f%5B%5D=&amp;c%5B%5D=tracker&amp;c%5B%5D=status&amp;c%5B%5D=subject&amp;c%5B%5D=assigned_to&amp;c%5B%5D=spent_hours&amp;c%5B%5D=done_ratio&amp;c%5B%5D=cf_78&amp;group_by=status&amp;t%5B%5D=" xr:uid="{00000000-0004-0000-0000-000004000000}"/>
    <hyperlink ref="G9" r:id="rId6" display="https://gertiq.senado.gov.br/redmine/projects/projeto007/issues?utf8=%E2%9C%93&amp;set_filter=1&amp;sort=id%3Adesc&amp;f%5B%5D=status_id&amp;op%5Bstatus_id%5D=c&amp;f%5B%5D=cf_74&amp;op%5Bcf_74%5D=%3E%3C&amp;v%5Bcf_74%5D%5B%5D=2021-01-01&amp;v%5Bcf_74%5D%5B%5D=2021-01-31&amp;f%5B%5D=created_on&amp;op%5Bcreated_on%5D=%3E%3D&amp;v%5Bcreated_on%5D%5B%5D=2021-02-01&amp;f%5B%5D=&amp;c%5B%5D=tracker&amp;c%5B%5D=status&amp;c%5B%5D=subject&amp;c%5B%5D=assigned_to&amp;c%5B%5D=created_on&amp;c%5B%5D=cf_74&amp;group_by=status&amp;t%5B%5D=" xr:uid="{00000000-0004-0000-0000-000005000000}"/>
    <hyperlink ref="C10" r:id="rId7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02-01&amp;v%5Bcf_74%5D%5B%5D=2021-02-28&amp;f%5B%5D=&amp;c%5B%5D=tracker&amp;c%5B%5D=status&amp;c%5B%5D=subject&amp;c%5B%5D=assigned_to&amp;c%5B%5D=spent_hours&amp;c%5B%5D=done_ratio&amp;c%5B%5D=cf_78&amp;group_by=status&amp;t%5B%5D=" xr:uid="{00000000-0004-0000-0000-000007000000}"/>
    <hyperlink ref="E10" r:id="rId8" display="https://gertiq.senado.gov.br/redmine/projects/projeto007/issues?utf8=%E2%9C%93&amp;set_filter=1&amp;sort=id%3Adesc&amp;f%5B%5D=created_on&amp;op%5Bcreated_on%5D=%3E%3C&amp;v%5Bcreated_on%5D%5B%5D=2021-02-01&amp;v%5Bcreated_on%5D%5B%5D=2021-02-28&amp;f%5B%5D=&amp;c%5B%5D=tracker&amp;c%5B%5D=status&amp;c%5B%5D=subject&amp;c%5B%5D=assigned_to&amp;c%5B%5D=spent_hours&amp;c%5B%5D=done_ratio&amp;c%5B%5D=cf_78&amp;group_by=status&amp;t%5B%5D=" xr:uid="{00000000-0004-0000-0000-000008000000}"/>
    <hyperlink ref="F10" r:id="rId9" display="https://gertiq.senado.gov.br/redmine/projects/projeto007/issues?utf8=%E2%9C%93&amp;set_filter=1&amp;sort=id%3Adesc&amp;f%5B%5D=created_on&amp;op%5Bcreated_on%5D=%3E%3C&amp;v%5Bcreated_on%5D%5B%5D=2021-02-01&amp;v%5Bcreated_on%5D%5B%5D=2021-02-28&amp;f%5B%5D=status_id&amp;op%5Bstatus_id%5D=c&amp;f%5B%5D=cf_74&amp;op%5Bcf_74%5D=%3E%3C&amp;v%5Bcf_74%5D%5B%5D=2021-02-01&amp;v%5Bcf_74%5D%5B%5D=2021-02-28&amp;f%5B%5D=&amp;c%5B%5D=tracker&amp;c%5B%5D=status&amp;c%5B%5D=subject&amp;c%5B%5D=assigned_to&amp;c%5B%5D=spent_hours&amp;c%5B%5D=done_ratio&amp;c%5B%5D=cf_78&amp;group_by=status&amp;t%5B%5D=" xr:uid="{00000000-0004-0000-0000-000009000000}"/>
    <hyperlink ref="G10" r:id="rId10" display="https://gertiq.senado.gov.br/redmine/projects/projeto007/issues?utf8=%E2%9C%93&amp;set_filter=1&amp;sort=id%3Adesc&amp;f%5B%5D=status_id&amp;op%5Bstatus_id%5D=c&amp;f%5B%5D=cf_74&amp;op%5Bcf_74%5D=%3E%3C&amp;v%5Bcf_74%5D%5B%5D=2021-02-01&amp;v%5Bcf_74%5D%5B%5D=2021-02-28&amp;f%5B%5D=created_on&amp;op%5Bcreated_on%5D=%3E%3D&amp;v%5Bcreated_on%5D%5B%5D=2021-03-01&amp;f%5B%5D=&amp;c%5B%5D=tracker&amp;c%5B%5D=status&amp;c%5B%5D=subject&amp;c%5B%5D=assigned_to&amp;c%5B%5D=created_on&amp;c%5B%5D=cf_74&amp;group_by=status&amp;t%5B%5D=" xr:uid="{00000000-0004-0000-0000-00000A000000}"/>
    <hyperlink ref="I10" r:id="rId11" display="https://gertiq.senado.gov.br/redmine/projects/projeto007/issues?utf8=%E2%9C%93&amp;set_filter=1&amp;sort=created_on%2Cid%3Adesc&amp;f%5B%5D=status_id&amp;op%5Bstatus_id%5D=c&amp;f%5B%5D=cf_74&amp;op%5Bcf_74%5D=%3E%3C&amp;v%5Bcf_74%5D%5B%5D=2021-02-01&amp;v%5Bcf_74%5D%5B%5D=2021-02-28&amp;f%5B%5D=created_on&amp;op%5Bcreated_on%5D=%3E%3C&amp;v%5Bcreated_on%5D%5B%5D=2021-01-01&amp;v%5Bcreated_on%5D%5B%5D=2021-01-31&amp;f%5B%5D=&amp;c%5B%5D=tracker&amp;c%5B%5D=status&amp;c%5B%5D=subject&amp;c%5B%5D=assigned_to&amp;c%5B%5D=created_on&amp;c%5B%5D=cf_74&amp;group_by=&amp;t%5B%5D=" xr:uid="{00000000-0004-0000-0000-00000C000000}"/>
    <hyperlink ref="C11" r:id="rId12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03-01&amp;v%5Bcf_74%5D%5B%5D=2021-03-31&amp;f%5B%5D=&amp;c%5B%5D=tracker&amp;c%5B%5D=status&amp;c%5B%5D=subject&amp;c%5B%5D=assigned_to&amp;c%5B%5D=spent_hours&amp;c%5B%5D=done_ratio&amp;c%5B%5D=cf_78&amp;group_by=status&amp;t%5B%5D=" xr:uid="{00000000-0004-0000-0000-00000D000000}"/>
    <hyperlink ref="E11" r:id="rId13" display="https://gertiq.senado.gov.br/redmine/projects/projeto007/issues?utf8=%E2%9C%93&amp;set_filter=1&amp;sort=id%3Adesc&amp;f%5B%5D=created_on&amp;op%5Bcreated_on%5D=%3E%3C&amp;v%5Bcreated_on%5D%5B%5D=2021-03-01&amp;v%5Bcreated_on%5D%5B%5D=2021-03-31&amp;f%5B%5D=&amp;c%5B%5D=tracker&amp;c%5B%5D=status&amp;c%5B%5D=subject&amp;c%5B%5D=assigned_to&amp;c%5B%5D=spent_hours&amp;c%5B%5D=done_ratio&amp;c%5B%5D=cf_78&amp;group_by=status&amp;t%5B%5D=" xr:uid="{00000000-0004-0000-0000-00000E000000}"/>
    <hyperlink ref="F11" r:id="rId14" display="https://gertiq.senado.gov.br/redmine/projects/projeto007/issues?utf8=%E2%9C%93&amp;set_filter=1&amp;sort=id%3Adesc&amp;f%5B%5D=created_on&amp;op%5Bcreated_on%5D=%3E%3C&amp;v%5Bcreated_on%5D%5B%5D=2021-03-01&amp;v%5Bcreated_on%5D%5B%5D=2021-03-31&amp;f%5B%5D=status_id&amp;op%5Bstatus_id%5D=c&amp;f%5B%5D=cf_74&amp;op%5Bcf_74%5D=%3E%3C&amp;v%5Bcf_74%5D%5B%5D=2021-03-01&amp;v%5Bcf_74%5D%5B%5D=2021-03-31&amp;f%5B%5D=&amp;c%5B%5D=tracker&amp;c%5B%5D=status&amp;c%5B%5D=subject&amp;c%5B%5D=assigned_to&amp;c%5B%5D=spent_hours&amp;c%5B%5D=done_ratio&amp;c%5B%5D=cf_78&amp;group_by=status&amp;t%5B%5D=" xr:uid="{00000000-0004-0000-0000-00000F000000}"/>
    <hyperlink ref="G11" r:id="rId15" display="https://gertiq.senado.gov.br/redmine/projects/projeto007/issues?utf8=%E2%9C%93&amp;set_filter=1&amp;sort=id%3Adesc&amp;f%5B%5D=status_id&amp;op%5Bstatus_id%5D=c&amp;f%5B%5D=cf_74&amp;op%5Bcf_74%5D=%3E%3C&amp;v%5Bcf_74%5D%5B%5D=2021-03-01&amp;v%5Bcf_74%5D%5B%5D=2021-03-31&amp;f%5B%5D=created_on&amp;op%5Bcreated_on%5D=%3E%3D&amp;v%5Bcreated_on%5D%5B%5D=2021-04-01&amp;f%5B%5D=&amp;c%5B%5D=tracker&amp;c%5B%5D=status&amp;c%5B%5D=subject&amp;c%5B%5D=assigned_to&amp;c%5B%5D=created_on&amp;c%5B%5D=cf_74&amp;group_by=status&amp;t%5B%5D=" xr:uid="{00000000-0004-0000-0000-000010000000}"/>
    <hyperlink ref="I11" r:id="rId16" display="https://gertiq.senado.gov.br/redmine/projects/projeto007/issues?utf8=%E2%9C%93&amp;set_filter=1&amp;sort=created_on%2Cid%3Adesc&amp;f%5B%5D=status_id&amp;op%5Bstatus_id%5D=c&amp;f%5B%5D=cf_74&amp;op%5Bcf_74%5D=%3E%3C&amp;v%5Bcf_74%5D%5B%5D=2021-03-01&amp;v%5Bcf_74%5D%5B%5D=2021-03-31&amp;f%5B%5D=created_on&amp;op%5Bcreated_on%5D=%3E%3C&amp;v%5Bcreated_on%5D%5B%5D=2021-01-01&amp;v%5Bcreated_on%5D%5B%5D=2021-02-28&amp;f%5B%5D=&amp;c%5B%5D=tracker&amp;c%5B%5D=status&amp;c%5B%5D=subject&amp;c%5B%5D=assigned_to&amp;c%5B%5D=created_on&amp;c%5B%5D=cf_74&amp;group_by=&amp;t%5B%5D=" xr:uid="{00000000-0004-0000-0000-000012000000}"/>
    <hyperlink ref="C12" r:id="rId17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04-01&amp;v%5Bcf_74%5D%5B%5D=2021-04-30&amp;f%5B%5D=&amp;c%5B%5D=tracker&amp;c%5B%5D=status&amp;c%5B%5D=subject&amp;c%5B%5D=assigned_to&amp;c%5B%5D=spent_hours&amp;c%5B%5D=done_ratio&amp;c%5B%5D=cf_78&amp;group_by=status&amp;t%5B%5D=" xr:uid="{00000000-0004-0000-0000-000013000000}"/>
    <hyperlink ref="E12" r:id="rId18" display="https://gertiq.senado.gov.br/redmine/projects/projeto007/issues?utf8=%E2%9C%93&amp;set_filter=1&amp;sort=id%3Adesc&amp;f%5B%5D=created_on&amp;op%5Bcreated_on%5D=%3E%3C&amp;v%5Bcreated_on%5D%5B%5D=2021-04-01&amp;v%5Bcreated_on%5D%5B%5D=2021-04-30&amp;f%5B%5D=&amp;c%5B%5D=tracker&amp;c%5B%5D=status&amp;c%5B%5D=subject&amp;c%5B%5D=assigned_to&amp;c%5B%5D=spent_hours&amp;c%5B%5D=done_ratio&amp;c%5B%5D=cf_78&amp;group_by=status&amp;t%5B%5D=" xr:uid="{00000000-0004-0000-0000-000014000000}"/>
    <hyperlink ref="F12" r:id="rId19" display="https://gertiq.senado.gov.br/redmine/projects/projeto007/issues?utf8=%E2%9C%93&amp;set_filter=1&amp;sort=id%3Adesc&amp;f%5B%5D=created_on&amp;op%5Bcreated_on%5D=%3E%3C&amp;v%5Bcreated_on%5D%5B%5D=2021-04-01&amp;v%5Bcreated_on%5D%5B%5D=2021-04-30&amp;f%5B%5D=status_id&amp;op%5Bstatus_id%5D=c&amp;f%5B%5D=cf_74&amp;op%5Bcf_74%5D=%3E%3C&amp;v%5Bcf_74%5D%5B%5D=2021-04-01&amp;v%5Bcf_74%5D%5B%5D=2021-04-30&amp;f%5B%5D=&amp;c%5B%5D=tracker&amp;c%5B%5D=status&amp;c%5B%5D=subject&amp;c%5B%5D=assigned_to&amp;c%5B%5D=spent_hours&amp;c%5B%5D=done_ratio&amp;c%5B%5D=cf_78&amp;group_by=status&amp;t%5B%5D=" xr:uid="{00000000-0004-0000-0000-000015000000}"/>
    <hyperlink ref="G12" r:id="rId20" display="https://gertiq.senado.gov.br/redmine/projects/projeto007/issues?utf8=%E2%9C%93&amp;set_filter=1&amp;sort=id%3Adesc&amp;f%5B%5D=status_id&amp;op%5Bstatus_id%5D=c&amp;f%5B%5D=cf_74&amp;op%5Bcf_74%5D=%3E%3C&amp;v%5Bcf_74%5D%5B%5D=2021-04-01&amp;v%5Bcf_74%5D%5B%5D=2021-04-30&amp;f%5B%5D=created_on&amp;op%5Bcreated_on%5D=%3E%3D&amp;v%5Bcreated_on%5D%5B%5D=2021-05-01&amp;f%5B%5D=&amp;c%5B%5D=tracker&amp;c%5B%5D=status&amp;c%5B%5D=subject&amp;c%5B%5D=assigned_to&amp;c%5B%5D=created_on&amp;c%5B%5D=cf_74&amp;group_by=status&amp;t%5B%5D=" xr:uid="{00000000-0004-0000-0000-000016000000}"/>
    <hyperlink ref="I12" r:id="rId21" display="https://gertiq.senado.gov.br/redmine/projects/projeto007/issues?utf8=%E2%9C%93&amp;set_filter=1&amp;sort=created_on%2Cid%3Adesc&amp;f%5B%5D=status_id&amp;op%5Bstatus_id%5D=c&amp;f%5B%5D=cf_74&amp;op%5Bcf_74%5D=%3E%3C&amp;v%5Bcf_74%5D%5B%5D=2021-04-01&amp;v%5Bcf_74%5D%5B%5D=2021-04-30&amp;f%5B%5D=created_on&amp;op%5Bcreated_on%5D=%3E%3C&amp;v%5Bcreated_on%5D%5B%5D=2021-01-01&amp;v%5Bcreated_on%5D%5B%5D=2021-03-31&amp;f%5B%5D=&amp;c%5B%5D=tracker&amp;c%5B%5D=status&amp;c%5B%5D=subject&amp;c%5B%5D=assigned_to&amp;c%5B%5D=created_on&amp;c%5B%5D=cf_74&amp;group_by=&amp;t%5B%5D=" xr:uid="{00000000-0004-0000-0000-000018000000}"/>
    <hyperlink ref="C13" r:id="rId22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05-01&amp;v%5Bcf_74%5D%5B%5D=2021-05-31&amp;f%5B%5D=&amp;c%5B%5D=tracker&amp;c%5B%5D=status&amp;c%5B%5D=subject&amp;c%5B%5D=assigned_to&amp;c%5B%5D=spent_hours&amp;c%5B%5D=done_ratio&amp;c%5B%5D=cf_78&amp;group_by=status&amp;t%5B%5D=" xr:uid="{00000000-0004-0000-0000-000019000000}"/>
    <hyperlink ref="E13" r:id="rId23" display="https://gertiq.senado.gov.br/redmine/projects/projeto007/issues?utf8=%E2%9C%93&amp;set_filter=1&amp;sort=id%3Adesc&amp;f%5B%5D=created_on&amp;op%5Bcreated_on%5D=%3E%3C&amp;v%5Bcreated_on%5D%5B%5D=2021-05-01&amp;v%5Bcreated_on%5D%5B%5D=2021-05-31&amp;f%5B%5D=&amp;c%5B%5D=tracker&amp;c%5B%5D=status&amp;c%5B%5D=subject&amp;c%5B%5D=assigned_to&amp;c%5B%5D=spent_hours&amp;c%5B%5D=done_ratio&amp;c%5B%5D=cf_78&amp;group_by=status&amp;t%5B%5D=" xr:uid="{00000000-0004-0000-0000-00001A000000}"/>
    <hyperlink ref="F13" r:id="rId24" display="https://gertiq.senado.gov.br/redmine/projects/projeto007/issues?utf8=%E2%9C%93&amp;set_filter=1&amp;sort=id%3Adesc&amp;f%5B%5D=created_on&amp;op%5Bcreated_on%5D=%3E%3C&amp;v%5Bcreated_on%5D%5B%5D=2021-05-01&amp;v%5Bcreated_on%5D%5B%5D=2021-05-31&amp;f%5B%5D=status_id&amp;op%5Bstatus_id%5D=c&amp;f%5B%5D=cf_74&amp;op%5Bcf_74%5D=%3E%3C&amp;v%5Bcf_74%5D%5B%5D=2021-05-01&amp;v%5Bcf_74%5D%5B%5D=2021-05-31&amp;f%5B%5D=&amp;c%5B%5D=tracker&amp;c%5B%5D=status&amp;c%5B%5D=subject&amp;c%5B%5D=assigned_to&amp;c%5B%5D=spent_hours&amp;c%5B%5D=done_ratio&amp;c%5B%5D=cf_78&amp;group_by=status&amp;t%5B%5D=" xr:uid="{00000000-0004-0000-0000-00001B000000}"/>
    <hyperlink ref="G13" r:id="rId25" display="https://gertiq.senado.gov.br/redmine/projects/projeto007/issues?utf8=%E2%9C%93&amp;set_filter=1&amp;sort=id%3Adesc&amp;f%5B%5D=status_id&amp;op%5Bstatus_id%5D=c&amp;f%5B%5D=cf_74&amp;op%5Bcf_74%5D=%3E%3C&amp;v%5Bcf_74%5D%5B%5D=2021-05-01&amp;v%5Bcf_74%5D%5B%5D=2021-05-31&amp;f%5B%5D=created_on&amp;op%5Bcreated_on%5D=%3E%3D&amp;v%5Bcreated_on%5D%5B%5D=2021-06-01&amp;f%5B%5D=&amp;c%5B%5D=tracker&amp;c%5B%5D=status&amp;c%5B%5D=subject&amp;c%5B%5D=assigned_to&amp;c%5B%5D=created_on&amp;c%5B%5D=cf_74&amp;group_by=status&amp;t%5B%5D=" xr:uid="{00000000-0004-0000-0000-00001C000000}"/>
    <hyperlink ref="I13" r:id="rId26" display="https://gertiq.senado.gov.br/redmine/projects/projeto007/issues?utf8=%E2%9C%93&amp;set_filter=1&amp;sort=created_on%2Cid%3Adesc&amp;f%5B%5D=status_id&amp;op%5Bstatus_id%5D=c&amp;f%5B%5D=cf_74&amp;op%5Bcf_74%5D=%3E%3C&amp;v%5Bcf_74%5D%5B%5D=2021-05-01&amp;v%5Bcf_74%5D%5B%5D=2021-05-31&amp;f%5B%5D=created_on&amp;op%5Bcreated_on%5D=%3E%3C&amp;v%5Bcreated_on%5D%5B%5D=2021-01-01&amp;v%5Bcreated_on%5D%5B%5D=2021-04-30&amp;f%5B%5D=&amp;c%5B%5D=tracker&amp;c%5B%5D=status&amp;c%5B%5D=subject&amp;c%5B%5D=assigned_to&amp;c%5B%5D=created_on&amp;c%5B%5D=cf_74&amp;group_by=&amp;t%5B%5D=" xr:uid="{00000000-0004-0000-0000-00001E000000}"/>
    <hyperlink ref="C14" r:id="rId27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06-01&amp;v%5Bcf_74%5D%5B%5D=2021-06-30&amp;f%5B%5D=&amp;c%5B%5D=tracker&amp;c%5B%5D=status&amp;c%5B%5D=subject&amp;c%5B%5D=assigned_to&amp;c%5B%5D=spent_hours&amp;c%5B%5D=done_ratio&amp;c%5B%5D=cf_78&amp;group_by=status&amp;t%5B%5D=" xr:uid="{00000000-0004-0000-0000-00001F000000}"/>
    <hyperlink ref="E14" r:id="rId28" display="https://gertiq.senado.gov.br/redmine/projects/projeto007/issues?utf8=%E2%9C%93&amp;set_filter=1&amp;sort=id%3Adesc&amp;f%5B%5D=created_on&amp;op%5Bcreated_on%5D=%3E%3C&amp;v%5Bcreated_on%5D%5B%5D=2021-06-01&amp;v%5Bcreated_on%5D%5B%5D=2021-06-30&amp;f%5B%5D=&amp;c%5B%5D=tracker&amp;c%5B%5D=status&amp;c%5B%5D=subject&amp;c%5B%5D=assigned_to&amp;c%5B%5D=spent_hours&amp;c%5B%5D=done_ratio&amp;c%5B%5D=cf_78&amp;group_by=status&amp;t%5B%5D=" xr:uid="{00000000-0004-0000-0000-000020000000}"/>
    <hyperlink ref="F14" r:id="rId29" display="https://gertiq.senado.gov.br/redmine/projects/projeto007/issues?utf8=%E2%9C%93&amp;set_filter=1&amp;sort=id%3Adesc&amp;f%5B%5D=created_on&amp;op%5Bcreated_on%5D=%3E%3C&amp;v%5Bcreated_on%5D%5B%5D=2021-06-01&amp;v%5Bcreated_on%5D%5B%5D=2021-06-30&amp;f%5B%5D=status_id&amp;op%5Bstatus_id%5D=c&amp;f%5B%5D=cf_74&amp;op%5Bcf_74%5D=%3E%3C&amp;v%5Bcf_74%5D%5B%5D=2021-06-01&amp;v%5Bcf_74%5D%5B%5D=2021-06-30&amp;f%5B%5D=&amp;c%5B%5D=tracker&amp;c%5B%5D=status&amp;c%5B%5D=subject&amp;c%5B%5D=assigned_to&amp;c%5B%5D=spent_hours&amp;c%5B%5D=done_ratio&amp;c%5B%5D=cf_78&amp;group_by=status&amp;t%5B%5D=" xr:uid="{00000000-0004-0000-0000-000021000000}"/>
    <hyperlink ref="G14" r:id="rId30" display="https://gertiq.senado.gov.br/redmine/projects/projeto007/issues?utf8=%E2%9C%93&amp;set_filter=1&amp;sort=id%3Adesc&amp;f%5B%5D=status_id&amp;op%5Bstatus_id%5D=c&amp;f%5B%5D=cf_74&amp;op%5Bcf_74%5D=%3E%3C&amp;v%5Bcf_74%5D%5B%5D=2021-06-01&amp;v%5Bcf_74%5D%5B%5D=2021-06-30&amp;f%5B%5D=created_on&amp;op%5Bcreated_on%5D=%3E%3D&amp;v%5Bcreated_on%5D%5B%5D=2021-07-01&amp;f%5B%5D=&amp;c%5B%5D=tracker&amp;c%5B%5D=status&amp;c%5B%5D=subject&amp;c%5B%5D=assigned_to&amp;c%5B%5D=created_on&amp;c%5B%5D=cf_74&amp;group_by=status&amp;t%5B%5D=" xr:uid="{00000000-0004-0000-0000-000022000000}"/>
    <hyperlink ref="I14" r:id="rId31" display="https://gertiq.senado.gov.br/redmine/projects/projeto007/issues?utf8=%E2%9C%93&amp;set_filter=1&amp;sort=created_on%2Cid%3Adesc&amp;f%5B%5D=status_id&amp;op%5Bstatus_id%5D=c&amp;f%5B%5D=cf_74&amp;op%5Bcf_74%5D=%3E%3C&amp;v%5Bcf_74%5D%5B%5D=2021-06-01&amp;v%5Bcf_74%5D%5B%5D=2021-06-30&amp;f%5B%5D=created_on&amp;op%5Bcreated_on%5D=%3E%3C&amp;v%5Bcreated_on%5D%5B%5D=2021-01-01&amp;v%5Bcreated_on%5D%5B%5D=2021-05-31&amp;f%5B%5D=&amp;c%5B%5D=tracker&amp;c%5B%5D=status&amp;c%5B%5D=subject&amp;c%5B%5D=assigned_to&amp;c%5B%5D=created_on&amp;c%5B%5D=cf_74&amp;group_by=&amp;t%5B%5D=" xr:uid="{00000000-0004-0000-0000-000024000000}"/>
    <hyperlink ref="C15" r:id="rId32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07-01&amp;v%5Bcf_74%5D%5B%5D=2021-07-31&amp;f%5B%5D=&amp;c%5B%5D=tracker&amp;c%5B%5D=status&amp;c%5B%5D=subject&amp;c%5B%5D=assigned_to&amp;c%5B%5D=spent_hours&amp;c%5B%5D=done_ratio&amp;c%5B%5D=cf_78&amp;group_by=status&amp;t%5B%5D=" xr:uid="{00000000-0004-0000-0000-000025000000}"/>
    <hyperlink ref="E15" r:id="rId33" display="https://gertiq.senado.gov.br/redmine/projects/projeto007/issues?utf8=%E2%9C%93&amp;set_filter=1&amp;sort=id%3Adesc&amp;f%5B%5D=created_on&amp;op%5Bcreated_on%5D=%3E%3C&amp;v%5Bcreated_on%5D%5B%5D=2021-07-01&amp;v%5Bcreated_on%5D%5B%5D=2021-07-31&amp;f%5B%5D=&amp;c%5B%5D=tracker&amp;c%5B%5D=status&amp;c%5B%5D=subject&amp;c%5B%5D=assigned_to&amp;c%5B%5D=spent_hours&amp;c%5B%5D=done_ratio&amp;c%5B%5D=cf_78&amp;group_by=status&amp;t%5B%5D=" xr:uid="{00000000-0004-0000-0000-000026000000}"/>
    <hyperlink ref="F15" r:id="rId34" display="https://gertiq.senado.gov.br/redmine/projects/projeto007/issues?utf8=%E2%9C%93&amp;set_filter=1&amp;sort=id%3Adesc&amp;f%5B%5D=created_on&amp;op%5Bcreated_on%5D=%3E%3C&amp;v%5Bcreated_on%5D%5B%5D=2021-07-01&amp;v%5Bcreated_on%5D%5B%5D=2021-07-31&amp;f%5B%5D=status_id&amp;op%5Bstatus_id%5D=c&amp;f%5B%5D=cf_74&amp;op%5Bcf_74%5D=%3E%3C&amp;v%5Bcf_74%5D%5B%5D=2021-07-01&amp;v%5Bcf_74%5D%5B%5D=2021-07-31&amp;f%5B%5D=&amp;c%5B%5D=tracker&amp;c%5B%5D=status&amp;c%5B%5D=subject&amp;c%5B%5D=assigned_to&amp;c%5B%5D=spent_hours&amp;c%5B%5D=done_ratio&amp;c%5B%5D=cf_78&amp;group_by=status&amp;t%5B%5D=" xr:uid="{00000000-0004-0000-0000-000027000000}"/>
    <hyperlink ref="G15" r:id="rId35" display="https://gertiq.senado.gov.br/redmine/projects/projeto007/issues?utf8=%E2%9C%93&amp;set_filter=1&amp;sort=id%3Adesc&amp;f%5B%5D=status_id&amp;op%5Bstatus_id%5D=c&amp;f%5B%5D=cf_74&amp;op%5Bcf_74%5D=%3E%3C&amp;v%5Bcf_74%5D%5B%5D=2021-07-01&amp;v%5Bcf_74%5D%5B%5D=2021-07-31&amp;f%5B%5D=created_on&amp;op%5Bcreated_on%5D=%3E%3D&amp;v%5Bcreated_on%5D%5B%5D=2021-08-01&amp;f%5B%5D=&amp;c%5B%5D=tracker&amp;c%5B%5D=status&amp;c%5B%5D=subject&amp;c%5B%5D=assigned_to&amp;c%5B%5D=created_on&amp;c%5B%5D=cf_74&amp;group_by=status&amp;t%5B%5D=" xr:uid="{00000000-0004-0000-0000-000028000000}"/>
    <hyperlink ref="I15" r:id="rId36" display="https://gertiq.senado.gov.br/redmine/projects/projeto007/issues?utf8=%E2%9C%93&amp;set_filter=1&amp;sort=created_on%2Cid%3Adesc&amp;f%5B%5D=status_id&amp;op%5Bstatus_id%5D=c&amp;f%5B%5D=cf_74&amp;op%5Bcf_74%5D=%3E%3C&amp;v%5Bcf_74%5D%5B%5D=2021-07-01&amp;v%5Bcf_74%5D%5B%5D=2021-07-31&amp;f%5B%5D=created_on&amp;op%5Bcreated_on%5D=%3E%3C&amp;v%5Bcreated_on%5D%5B%5D=2021-01-01&amp;v%5Bcreated_on%5D%5B%5D=2021-06-30&amp;f%5B%5D=&amp;c%5B%5D=tracker&amp;c%5B%5D=status&amp;c%5B%5D=subject&amp;c%5B%5D=assigned_to&amp;c%5B%5D=created_on&amp;c%5B%5D=cf_74&amp;group_by=&amp;t%5B%5D=" xr:uid="{00000000-0004-0000-0000-00002A000000}"/>
    <hyperlink ref="C16" r:id="rId37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08-01&amp;v%5Bcf_74%5D%5B%5D=2021-08-30&amp;f%5B%5D=&amp;c%5B%5D=tracker&amp;c%5B%5D=status&amp;c%5B%5D=subject&amp;c%5B%5D=assigned_to&amp;c%5B%5D=spent_hours&amp;c%5B%5D=done_ratio&amp;c%5B%5D=cf_78&amp;group_by=status&amp;t%5B%5D=" xr:uid="{00000000-0004-0000-0000-00002B000000}"/>
    <hyperlink ref="E16" r:id="rId38" display="https://gertiq.senado.gov.br/redmine/projects/projeto007/issues?utf8=%E2%9C%93&amp;set_filter=1&amp;sort=id%3Adesc&amp;f%5B%5D=created_on&amp;op%5Bcreated_on%5D=%3E%3C&amp;v%5Bcreated_on%5D%5B%5D=2021-08-01&amp;v%5Bcreated_on%5D%5B%5D=2021-08-31&amp;f%5B%5D=&amp;c%5B%5D=tracker&amp;c%5B%5D=status&amp;c%5B%5D=subject&amp;c%5B%5D=assigned_to&amp;c%5B%5D=spent_hours&amp;c%5B%5D=done_ratio&amp;c%5B%5D=cf_78&amp;group_by=status&amp;t%5B%5D=" xr:uid="{00000000-0004-0000-0000-00002C000000}"/>
    <hyperlink ref="F16" r:id="rId39" display="https://gertiq.senado.gov.br/redmine/projects/projeto007/issues?utf8=%E2%9C%93&amp;set_filter=1&amp;sort=id%3Adesc&amp;f%5B%5D=created_on&amp;op%5Bcreated_on%5D=%3E%3C&amp;v%5Bcreated_on%5D%5B%5D=2021-08-01&amp;v%5Bcreated_on%5D%5B%5D=2021-08-31&amp;f%5B%5D=status_id&amp;op%5Bstatus_id%5D=c&amp;f%5B%5D=cf_74&amp;op%5Bcf_74%5D=%3E%3C&amp;v%5Bcf_74%5D%5B%5D=2021-08-01&amp;v%5Bcf_74%5D%5B%5D=2021-08-31&amp;f%5B%5D=&amp;c%5B%5D=tracker&amp;c%5B%5D=status&amp;c%5B%5D=subject&amp;c%5B%5D=assigned_to&amp;c%5B%5D=spent_hours&amp;c%5B%5D=done_ratio&amp;c%5B%5D=cf_78&amp;group_by=status&amp;t%5B%5D=" xr:uid="{00000000-0004-0000-0000-00002D000000}"/>
    <hyperlink ref="G16" r:id="rId40" display="https://gertiq.senado.gov.br/redmine/projects/projeto007/issues?utf8=%E2%9C%93&amp;set_filter=1&amp;sort=id%3Adesc&amp;f%5B%5D=status_id&amp;op%5Bstatus_id%5D=c&amp;f%5B%5D=cf_74&amp;op%5Bcf_74%5D=%3E%3C&amp;v%5Bcf_74%5D%5B%5D=2021-08-01&amp;v%5Bcf_74%5D%5B%5D=2021-08-30&amp;f%5B%5D=created_on&amp;op%5Bcreated_on%5D=%3E%3D&amp;v%5Bcreated_on%5D%5B%5D=2021-09-01&amp;f%5B%5D=&amp;c%5B%5D=tracker&amp;c%5B%5D=status&amp;c%5B%5D=subject&amp;c%5B%5D=assigned_to&amp;c%5B%5D=created_on&amp;c%5B%5D=cf_74&amp;group_by=status&amp;t%5B%5D=" xr:uid="{00000000-0004-0000-0000-00002E000000}"/>
    <hyperlink ref="I16" r:id="rId41" display="https://gertiq.senado.gov.br/redmine/projects/projeto007/issues?utf8=%E2%9C%93&amp;set_filter=1&amp;sort=created_on%2Cid%3Adesc&amp;f%5B%5D=status_id&amp;op%5Bstatus_id%5D=c&amp;f%5B%5D=cf_74&amp;op%5Bcf_74%5D=%3E%3C&amp;v%5Bcf_74%5D%5B%5D=2021-08-01&amp;v%5Bcf_74%5D%5B%5D=2021-08-31&amp;f%5B%5D=created_on&amp;op%5Bcreated_on%5D=%3E%3C&amp;v%5Bcreated_on%5D%5B%5D=2021-01-01&amp;v%5Bcreated_on%5D%5B%5D=2021-07-31&amp;f%5B%5D=&amp;c%5B%5D=tracker&amp;c%5B%5D=status&amp;c%5B%5D=subject&amp;c%5B%5D=assigned_to&amp;c%5B%5D=created_on&amp;c%5B%5D=cf_74&amp;group_by=&amp;t%5B%5D=" xr:uid="{00000000-0004-0000-0000-000030000000}"/>
    <hyperlink ref="C17" r:id="rId42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09-01&amp;v%5Bcf_74%5D%5B%5D=2021-09-30&amp;f%5B%5D=&amp;c%5B%5D=tracker&amp;c%5B%5D=status&amp;c%5B%5D=subject&amp;c%5B%5D=assigned_to&amp;c%5B%5D=spent_hours&amp;c%5B%5D=done_ratio&amp;c%5B%5D=cf_78&amp;group_by=status&amp;t%5B%5D=" xr:uid="{00000000-0004-0000-0000-000031000000}"/>
    <hyperlink ref="E17" r:id="rId43" display="https://gertiq.senado.gov.br/redmine/projects/projeto007/issues?utf8=%E2%9C%93&amp;set_filter=1&amp;sort=id%3Adesc&amp;f%5B%5D=created_on&amp;op%5Bcreated_on%5D=%3E%3C&amp;v%5Bcreated_on%5D%5B%5D=2021-09-01&amp;v%5Bcreated_on%5D%5B%5D=2021-09-30&amp;f%5B%5D=&amp;c%5B%5D=tracker&amp;c%5B%5D=status&amp;c%5B%5D=subject&amp;c%5B%5D=assigned_to&amp;c%5B%5D=spent_hours&amp;c%5B%5D=done_ratio&amp;c%5B%5D=cf_78&amp;group_by=status&amp;t%5B%5D=" xr:uid="{00000000-0004-0000-0000-000032000000}"/>
    <hyperlink ref="F17" r:id="rId44" display="https://gertiq.senado.gov.br/redmine/projects/projeto007/issues?utf8=%E2%9C%93&amp;set_filter=1&amp;sort=id%3Adesc&amp;f%5B%5D=created_on&amp;op%5Bcreated_on%5D=%3E%3C&amp;v%5Bcreated_on%5D%5B%5D=2021-09-01&amp;v%5Bcreated_on%5D%5B%5D=2021-09-30&amp;f%5B%5D=status_id&amp;op%5Bstatus_id%5D=c&amp;f%5B%5D=cf_74&amp;op%5Bcf_74%5D=%3E%3C&amp;v%5Bcf_74%5D%5B%5D=2021-09-01&amp;v%5Bcf_74%5D%5B%5D=2021-09-30&amp;f%5B%5D=&amp;c%5B%5D=tracker&amp;c%5B%5D=status&amp;c%5B%5D=subject&amp;c%5B%5D=assigned_to&amp;c%5B%5D=spent_hours&amp;c%5B%5D=done_ratio&amp;c%5B%5D=cf_78&amp;group_by=status&amp;t%5B%5D=" xr:uid="{00000000-0004-0000-0000-000033000000}"/>
    <hyperlink ref="G17" r:id="rId45" display="https://gertiq.senado.gov.br/redmine/projects/projeto007/issues?utf8=%E2%9C%93&amp;set_filter=1&amp;sort=id%3Adesc&amp;f%5B%5D=status_id&amp;op%5Bstatus_id%5D=c&amp;f%5B%5D=cf_74&amp;op%5Bcf_74%5D=%3E%3C&amp;v%5Bcf_74%5D%5B%5D=2021-09-01&amp;v%5Bcf_74%5D%5B%5D=2021-09-30&amp;f%5B%5D=created_on&amp;op%5Bcreated_on%5D=%3E%3D&amp;v%5Bcreated_on%5D%5B%5D=2021-10-01&amp;f%5B%5D=&amp;c%5B%5D=tracker&amp;c%5B%5D=status&amp;c%5B%5D=subject&amp;c%5B%5D=assigned_to&amp;c%5B%5D=created_on&amp;c%5B%5D=cf_74&amp;group_by=status&amp;t%5B%5D=" xr:uid="{00000000-0004-0000-0000-000034000000}"/>
    <hyperlink ref="I17" r:id="rId46" display="https://gertiq.senado.gov.br/redmine/projects/projeto007/issues?utf8=%E2%9C%93&amp;set_filter=1&amp;sort=created_on%2Cid%3Adesc&amp;f%5B%5D=status_id&amp;op%5Bstatus_id%5D=c&amp;f%5B%5D=cf_74&amp;op%5Bcf_74%5D=%3E%3C&amp;v%5Bcf_74%5D%5B%5D=2021-09-01&amp;v%5Bcf_74%5D%5B%5D=2021-09-30&amp;f%5B%5D=created_on&amp;op%5Bcreated_on%5D=%3E%3C&amp;v%5Bcreated_on%5D%5B%5D=2021-01-01&amp;v%5Bcreated_on%5D%5B%5D=2021-08-31&amp;f%5B%5D=&amp;c%5B%5D=tracker&amp;c%5B%5D=status&amp;c%5B%5D=subject&amp;c%5B%5D=assigned_to&amp;c%5B%5D=created_on&amp;c%5B%5D=cf_74&amp;group_by=&amp;t%5B%5D=" xr:uid="{00000000-0004-0000-0000-000036000000}"/>
    <hyperlink ref="C18" r:id="rId47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10-01&amp;v%5Bcf_74%5D%5B%5D=2021-10-31&amp;f%5B%5D=&amp;c%5B%5D=tracker&amp;c%5B%5D=status&amp;c%5B%5D=subject&amp;c%5B%5D=assigned_to&amp;c%5B%5D=spent_hours&amp;c%5B%5D=done_ratio&amp;c%5B%5D=cf_78&amp;group_by=status&amp;t%5B%5D=" xr:uid="{00000000-0004-0000-0000-000037000000}"/>
    <hyperlink ref="E18" r:id="rId48" display="https://gertiq.senado.gov.br/redmine/projects/projeto007/issues?utf8=%E2%9C%93&amp;set_filter=1&amp;sort=id%3Adesc&amp;f%5B%5D=created_on&amp;op%5Bcreated_on%5D=%3E%3C&amp;v%5Bcreated_on%5D%5B%5D=2021-10-01&amp;v%5Bcreated_on%5D%5B%5D=2021-10-31&amp;f%5B%5D=&amp;c%5B%5D=tracker&amp;c%5B%5D=status&amp;c%5B%5D=subject&amp;c%5B%5D=assigned_to&amp;c%5B%5D=spent_hours&amp;c%5B%5D=done_ratio&amp;c%5B%5D=cf_78&amp;group_by=status&amp;t%5B%5D=" xr:uid="{00000000-0004-0000-0000-000038000000}"/>
    <hyperlink ref="F18" r:id="rId49" display="https://gertiq.senado.gov.br/redmine/projects/projeto007/issues?utf8=%E2%9C%93&amp;set_filter=1&amp;sort=id%3Adesc&amp;f%5B%5D=created_on&amp;op%5Bcreated_on%5D=%3E%3C&amp;v%5Bcreated_on%5D%5B%5D=2021-10-01&amp;v%5Bcreated_on%5D%5B%5D=2021-10-31&amp;f%5B%5D=status_id&amp;op%5Bstatus_id%5D=c&amp;f%5B%5D=cf_74&amp;op%5Bcf_74%5D=%3E%3C&amp;v%5Bcf_74%5D%5B%5D=2021-10-01&amp;v%5Bcf_74%5D%5B%5D=2021-10-31&amp;f%5B%5D=&amp;c%5B%5D=tracker&amp;c%5B%5D=status&amp;c%5B%5D=subject&amp;c%5B%5D=assigned_to&amp;c%5B%5D=spent_hours&amp;c%5B%5D=done_ratio&amp;c%5B%5D=cf_78&amp;group_by=status&amp;t%5B%5D=" xr:uid="{00000000-0004-0000-0000-000039000000}"/>
    <hyperlink ref="G18" r:id="rId50" display="https://gertiq.senado.gov.br/redmine/projects/projeto007/issues?utf8=%E2%9C%93&amp;set_filter=1&amp;sort=id%3Adesc&amp;f%5B%5D=status_id&amp;op%5Bstatus_id%5D=c&amp;f%5B%5D=cf_74&amp;op%5Bcf_74%5D=%3E%3C&amp;v%5Bcf_74%5D%5B%5D=2021-10-01&amp;v%5Bcf_74%5D%5B%5D=2021-10-31&amp;f%5B%5D=created_on&amp;op%5Bcreated_on%5D=%3E%3D&amp;v%5Bcreated_on%5D%5B%5D=2021-11-01&amp;f%5B%5D=&amp;c%5B%5D=tracker&amp;c%5B%5D=status&amp;c%5B%5D=subject&amp;c%5B%5D=assigned_to&amp;c%5B%5D=created_on&amp;c%5B%5D=cf_74&amp;group_by=status&amp;t%5B%5D=" xr:uid="{00000000-0004-0000-0000-00003A000000}"/>
    <hyperlink ref="I18" r:id="rId51" display="https://gertiq.senado.gov.br/redmine/projects/projeto007/issues?utf8=%E2%9C%93&amp;set_filter=1&amp;sort=created_on%2Cid%3Adesc&amp;f%5B%5D=status_id&amp;op%5Bstatus_id%5D=c&amp;f%5B%5D=cf_74&amp;op%5Bcf_74%5D=%3E%3C&amp;v%5Bcf_74%5D%5B%5D=2021-10-01&amp;v%5Bcf_74%5D%5B%5D=2021-10-31&amp;f%5B%5D=created_on&amp;op%5Bcreated_on%5D=%3E%3C&amp;v%5Bcreated_on%5D%5B%5D=2021-01-01&amp;v%5Bcreated_on%5D%5B%5D=2021-09-30&amp;f%5B%5D=&amp;c%5B%5D=tracker&amp;c%5B%5D=status&amp;c%5B%5D=subject&amp;c%5B%5D=assigned_to&amp;c%5B%5D=created_on&amp;c%5B%5D=cf_74&amp;group_by=&amp;t%5B%5D=" xr:uid="{00000000-0004-0000-0000-00003C000000}"/>
    <hyperlink ref="C19" r:id="rId52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11-01&amp;v%5Bcf_74%5D%5B%5D=2021-11-30&amp;f%5B%5D=&amp;c%5B%5D=tracker&amp;c%5B%5D=status&amp;c%5B%5D=subject&amp;c%5B%5D=assigned_to&amp;c%5B%5D=spent_hours&amp;c%5B%5D=done_ratio&amp;c%5B%5D=cf_78&amp;group_by=status&amp;t%5B%5D=" xr:uid="{00000000-0004-0000-0000-00003D000000}"/>
    <hyperlink ref="E19" r:id="rId53" display="https://gertiq.senado.gov.br/redmine/projects/projeto007/issues?utf8=%E2%9C%93&amp;set_filter=1&amp;sort=id%3Adesc&amp;f%5B%5D=created_on&amp;op%5Bcreated_on%5D=%3E%3C&amp;v%5Bcreated_on%5D%5B%5D=2021-11-01&amp;v%5Bcreated_on%5D%5B%5D=2021-11-30&amp;f%5B%5D=&amp;c%5B%5D=tracker&amp;c%5B%5D=status&amp;c%5B%5D=subject&amp;c%5B%5D=assigned_to&amp;c%5B%5D=spent_hours&amp;c%5B%5D=done_ratio&amp;c%5B%5D=cf_78&amp;group_by=status&amp;t%5B%5D=" xr:uid="{00000000-0004-0000-0000-00003E000000}"/>
    <hyperlink ref="F19" r:id="rId54" display="https://gertiq.senado.gov.br/redmine/projects/projeto007/issues?utf8=%E2%9C%93&amp;set_filter=1&amp;sort=id%3Adesc&amp;f%5B%5D=created_on&amp;op%5Bcreated_on%5D=%3E%3C&amp;v%5Bcreated_on%5D%5B%5D=2021-11-01&amp;v%5Bcreated_on%5D%5B%5D=2021-11-30&amp;f%5B%5D=status_id&amp;op%5Bstatus_id%5D=c&amp;f%5B%5D=cf_74&amp;op%5Bcf_74%5D=%3E%3C&amp;v%5Bcf_74%5D%5B%5D=2021-11-01&amp;v%5Bcf_74%5D%5B%5D=2021-11-30&amp;f%5B%5D=&amp;c%5B%5D=tracker&amp;c%5B%5D=status&amp;c%5B%5D=subject&amp;c%5B%5D=assigned_to&amp;c%5B%5D=spent_hours&amp;c%5B%5D=done_ratio&amp;c%5B%5D=cf_78&amp;group_by=status&amp;t%5B%5D=" xr:uid="{00000000-0004-0000-0000-00003F000000}"/>
    <hyperlink ref="G19" r:id="rId55" display="https://gertiq.senado.gov.br/redmine/projects/projeto007/issues?utf8=%E2%9C%93&amp;set_filter=1&amp;sort=id%3Adesc&amp;f%5B%5D=status_id&amp;op%5Bstatus_id%5D=c&amp;f%5B%5D=cf_74&amp;op%5Bcf_74%5D=%3E%3C&amp;v%5Bcf_74%5D%5B%5D=2021-11-01&amp;v%5Bcf_74%5D%5B%5D=2021-11-30&amp;f%5B%5D=created_on&amp;op%5Bcreated_on%5D=%3E%3D&amp;v%5Bcreated_on%5D%5B%5D=2021-12-01&amp;f%5B%5D=&amp;c%5B%5D=tracker&amp;c%5B%5D=status&amp;c%5B%5D=subject&amp;c%5B%5D=assigned_to&amp;c%5B%5D=created_on&amp;c%5B%5D=cf_74&amp;group_by=status&amp;t%5B%5D=" xr:uid="{00000000-0004-0000-0000-000040000000}"/>
    <hyperlink ref="I19" r:id="rId56" display="https://gertiq.senado.gov.br/redmine/projects/projeto007/issues?utf8=%E2%9C%93&amp;set_filter=1&amp;sort=created_on%2Cid%3Adesc&amp;f%5B%5D=status_id&amp;op%5Bstatus_id%5D=c&amp;f%5B%5D=cf_74&amp;op%5Bcf_74%5D=%3E%3C&amp;v%5Bcf_74%5D%5B%5D=2021-11-01&amp;v%5Bcf_74%5D%5B%5D=2021-11-30&amp;f%5B%5D=created_on&amp;op%5Bcreated_on%5D=%3E%3C&amp;v%5Bcreated_on%5D%5B%5D=2021-01-01&amp;v%5Bcreated_on%5D%5B%5D=2021-10-31&amp;f%5B%5D=&amp;c%5B%5D=tracker&amp;c%5B%5D=status&amp;c%5B%5D=subject&amp;c%5B%5D=assigned_to&amp;c%5B%5D=created_on&amp;c%5B%5D=cf_74&amp;group_by=&amp;t%5B%5D=" xr:uid="{00000000-0004-0000-0000-000042000000}"/>
    <hyperlink ref="C20" r:id="rId57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1-12-01&amp;v%5Bcf_74%5D%5B%5D=2021-12-31&amp;f%5B%5D=&amp;c%5B%5D=tracker&amp;c%5B%5D=status&amp;c%5B%5D=subject&amp;c%5B%5D=assigned_to&amp;c%5B%5D=spent_hours&amp;c%5B%5D=done_ratio&amp;c%5B%5D=cf_78&amp;group_by=status&amp;t%5B%5D=" xr:uid="{00000000-0004-0000-0000-000043000000}"/>
    <hyperlink ref="E20" r:id="rId58" display="https://gertiq.senado.gov.br/redmine/projects/projeto007/issues?utf8=%E2%9C%93&amp;set_filter=1&amp;sort=id%3Adesc&amp;f%5B%5D=created_on&amp;op%5Bcreated_on%5D=%3E%3C&amp;v%5Bcreated_on%5D%5B%5D=2021-12-01&amp;v%5Bcreated_on%5D%5B%5D=2021-12-31&amp;f%5B%5D=&amp;c%5B%5D=tracker&amp;c%5B%5D=status&amp;c%5B%5D=subject&amp;c%5B%5D=assigned_to&amp;c%5B%5D=spent_hours&amp;c%5B%5D=done_ratio&amp;c%5B%5D=cf_78&amp;group_by=status&amp;t%5B%5D=" xr:uid="{00000000-0004-0000-0000-000044000000}"/>
    <hyperlink ref="F20" r:id="rId59" display="https://gertiq.senado.gov.br/redmine/projects/projeto007/issues?utf8=%E2%9C%93&amp;set_filter=1&amp;sort=id%3Adesc&amp;f%5B%5D=created_on&amp;op%5Bcreated_on%5D=%3E%3C&amp;v%5Bcreated_on%5D%5B%5D=2021-12-01&amp;v%5Bcreated_on%5D%5B%5D=2021-12-31&amp;f%5B%5D=status_id&amp;op%5Bstatus_id%5D=c&amp;f%5B%5D=cf_74&amp;op%5Bcf_74%5D=%3E%3C&amp;v%5Bcf_74%5D%5B%5D=2021-12-01&amp;v%5Bcf_74%5D%5B%5D=2021-12-31&amp;f%5B%5D=&amp;c%5B%5D=tracker&amp;c%5B%5D=status&amp;c%5B%5D=subject&amp;c%5B%5D=assigned_to&amp;c%5B%5D=spent_hours&amp;c%5B%5D=done_ratio&amp;c%5B%5D=cf_78&amp;group_by=status&amp;t%5B%5D=" xr:uid="{00000000-0004-0000-0000-000045000000}"/>
    <hyperlink ref="G20" r:id="rId60" display="https://gertiq.senado.gov.br/redmine/projects/projeto007/issues?utf8=%E2%9C%93&amp;set_filter=1&amp;sort=id%3Adesc&amp;f%5B%5D=status_id&amp;op%5Bstatus_id%5D=c&amp;f%5B%5D=cf_74&amp;op%5Bcf_74%5D=%3E%3C&amp;v%5Bcf_74%5D%5B%5D=2021-12-01&amp;v%5Bcf_74%5D%5B%5D=2021-12-31&amp;f%5B%5D=created_on&amp;op%5Bcreated_on%5D=%3E%3D&amp;v%5Bcreated_on%5D%5B%5D=2022-01-01&amp;f%5B%5D=&amp;c%5B%5D=tracker&amp;c%5B%5D=status&amp;c%5B%5D=subject&amp;c%5B%5D=assigned_to&amp;c%5B%5D=created_on&amp;c%5B%5D=cf_74&amp;group_by=status&amp;t%5B%5D=" xr:uid="{00000000-0004-0000-0000-000046000000}"/>
    <hyperlink ref="I20" r:id="rId61" display="https://gertiq.senado.gov.br/redmine/projects/projeto007/issues?utf8=%E2%9C%93&amp;set_filter=1&amp;sort=created_on%2Cid%3Adesc&amp;f%5B%5D=status_id&amp;op%5Bstatus_id%5D=c&amp;f%5B%5D=cf_74&amp;op%5Bcf_74%5D=%3E%3C&amp;v%5Bcf_74%5D%5B%5D=2021-12-01&amp;v%5Bcf_74%5D%5B%5D=2021-12-31&amp;f%5B%5D=created_on&amp;op%5Bcreated_on%5D=%3E%3C&amp;v%5Bcreated_on%5D%5B%5D=2021-01-01&amp;v%5Bcreated_on%5D%5B%5D=2021-11-30&amp;f%5B%5D=&amp;c%5B%5D=tracker&amp;c%5B%5D=status&amp;c%5B%5D=subject&amp;c%5B%5D=assigned_to&amp;c%5B%5D=created_on&amp;c%5B%5D=cf_74&amp;group_by=&amp;t%5B%5D=" xr:uid="{00000000-0004-0000-0000-000048000000}"/>
    <hyperlink ref="C21" r:id="rId62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2-01-01&amp;v%5Bcf_74%5D%5B%5D=2022-01-31&amp;f%5B%5D=&amp;c%5B%5D=tracker&amp;c%5B%5D=status&amp;c%5B%5D=subject&amp;c%5B%5D=assigned_to&amp;c%5B%5D=spent_hours&amp;c%5B%5D=done_ratio&amp;c%5B%5D=cf_78&amp;group_by=status&amp;t%5B%5D=" xr:uid="{00000000-0004-0000-0000-000049000000}"/>
    <hyperlink ref="E21" r:id="rId63" display="https://gertiq.senado.gov.br/redmine/projects/projeto007/issues?utf8=%E2%9C%93&amp;set_filter=1&amp;sort=id%3Adesc&amp;f%5B%5D=created_on&amp;op%5Bcreated_on%5D=%3E%3C&amp;v%5Bcreated_on%5D%5B%5D=2022-01-01&amp;v%5Bcreated_on%5D%5B%5D=2022-01-31&amp;f%5B%5D=&amp;c%5B%5D=tracker&amp;c%5B%5D=status&amp;c%5B%5D=subject&amp;c%5B%5D=assigned_to&amp;c%5B%5D=spent_hours&amp;c%5B%5D=done_ratio&amp;c%5B%5D=cf_78&amp;group_by=status&amp;t%5B%5D=" xr:uid="{00000000-0004-0000-0000-00004A000000}"/>
    <hyperlink ref="F21" r:id="rId64" display="https://gertiq.senado.gov.br/redmine/projects/projeto007/issues?utf8=%E2%9C%93&amp;set_filter=1&amp;sort=id%3Adesc&amp;f%5B%5D=created_on&amp;op%5Bcreated_on%5D=%3E%3C&amp;v%5Bcreated_on%5D%5B%5D=2022-01-01&amp;v%5Bcreated_on%5D%5B%5D=2022-01-31&amp;f%5B%5D=status_id&amp;op%5Bstatus_id%5D=c&amp;f%5B%5D=cf_74&amp;op%5Bcf_74%5D=%3E%3C&amp;v%5Bcf_74%5D%5B%5D=2022-01-01&amp;v%5Bcf_74%5D%5B%5D=2022-01-31&amp;f%5B%5D=&amp;c%5B%5D=tracker&amp;c%5B%5D=status&amp;c%5B%5D=subject&amp;c%5B%5D=assigned_to&amp;c%5B%5D=spent_hours&amp;c%5B%5D=done_ratio&amp;c%5B%5D=cf_78&amp;group_by=status&amp;t%5B%5D=" xr:uid="{00000000-0004-0000-0000-00004B000000}"/>
    <hyperlink ref="G21" r:id="rId65" display="https://gertiq.senado.gov.br/redmine/projects/projeto007/issues?utf8=%E2%9C%93&amp;set_filter=1&amp;sort=id%3Adesc&amp;f%5B%5D=status_id&amp;op%5Bstatus_id%5D=c&amp;f%5B%5D=cf_74&amp;op%5Bcf_74%5D=%3E%3C&amp;v%5Bcf_74%5D%5B%5D=2022-01-01&amp;v%5Bcf_74%5D%5B%5D=2022-01-31&amp;f%5B%5D=created_on&amp;op%5Bcreated_on%5D=%3E%3D&amp;v%5Bcreated_on%5D%5B%5D=2022-02-01&amp;f%5B%5D=&amp;c%5B%5D=tracker&amp;c%5B%5D=status&amp;c%5B%5D=subject&amp;c%5B%5D=assigned_to&amp;c%5B%5D=created_on&amp;c%5B%5D=cf_74&amp;group_by=status&amp;t%5B%5D=" xr:uid="{00000000-0004-0000-0000-00004C000000}"/>
    <hyperlink ref="I21" r:id="rId66" display="https://gertiq.senado.gov.br/redmine/projects/projeto007/issues?utf8=%E2%9C%93&amp;set_filter=1&amp;sort=created_on%2Cid%3Adesc&amp;f%5B%5D=status_id&amp;op%5Bstatus_id%5D=c&amp;f%5B%5D=cf_74&amp;op%5Bcf_74%5D=%3E%3C&amp;v%5Bcf_74%5D%5B%5D=2022-01-01&amp;v%5Bcf_74%5D%5B%5D=2022-01-31&amp;f%5B%5D=created_on&amp;op%5Bcreated_on%5D=%3E%3C&amp;v%5Bcreated_on%5D%5B%5D=2021-01-01&amp;v%5Bcreated_on%5D%5B%5D=2021-12-31&amp;f%5B%5D=&amp;c%5B%5D=tracker&amp;c%5B%5D=status&amp;c%5B%5D=subject&amp;c%5B%5D=assigned_to&amp;c%5B%5D=created_on&amp;c%5B%5D=cf_74&amp;group_by=&amp;t%5B%5D=" xr:uid="{00000000-0004-0000-0000-00004E000000}"/>
    <hyperlink ref="C22" r:id="rId67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2-02-01&amp;v%5Bcf_74%5D%5B%5D=2022-02-28&amp;f%5B%5D=&amp;c%5B%5D=tracker&amp;c%5B%5D=status&amp;c%5B%5D=subject&amp;c%5B%5D=assigned_to&amp;c%5B%5D=spent_hours&amp;c%5B%5D=done_ratio&amp;c%5B%5D=cf_78&amp;group_by=status&amp;t%5B%5D=" xr:uid="{00000000-0004-0000-0000-00004F000000}"/>
    <hyperlink ref="E22" r:id="rId68" display="https://gertiq.senado.gov.br/redmine/projects/projeto007/issues?utf8=%E2%9C%93&amp;set_filter=1&amp;sort=id%3Adesc&amp;f%5B%5D=created_on&amp;op%5Bcreated_on%5D=%3E%3C&amp;v%5Bcreated_on%5D%5B%5D=2022-02-01&amp;v%5Bcreated_on%5D%5B%5D=2022-02-28&amp;f%5B%5D=&amp;c%5B%5D=tracker&amp;c%5B%5D=status&amp;c%5B%5D=subject&amp;c%5B%5D=assigned_to&amp;c%5B%5D=spent_hours&amp;c%5B%5D=done_ratio&amp;c%5B%5D=cf_78&amp;group_by=status&amp;t%5B%5D=" xr:uid="{00000000-0004-0000-0000-000050000000}"/>
    <hyperlink ref="F22" r:id="rId69" display="https://gertiq.senado.gov.br/redmine/projects/projeto007/issues?utf8=%E2%9C%93&amp;set_filter=1&amp;sort=id%3Adesc&amp;f%5B%5D=created_on&amp;op%5Bcreated_on%5D=%3E%3C&amp;v%5Bcreated_on%5D%5B%5D=2022-02-01&amp;v%5Bcreated_on%5D%5B%5D=2022-02-28&amp;f%5B%5D=status_id&amp;op%5Bstatus_id%5D=c&amp;f%5B%5D=cf_74&amp;op%5Bcf_74%5D=%3E%3C&amp;v%5Bcf_74%5D%5B%5D=2022-02-01&amp;v%5Bcf_74%5D%5B%5D=2022-02-28&amp;f%5B%5D=&amp;c%5B%5D=tracker&amp;c%5B%5D=status&amp;c%5B%5D=subject&amp;c%5B%5D=assigned_to&amp;c%5B%5D=spent_hours&amp;c%5B%5D=done_ratio&amp;c%5B%5D=cf_78&amp;group_by=status&amp;t%5B%5D=" xr:uid="{00000000-0004-0000-0000-000051000000}"/>
    <hyperlink ref="G22" r:id="rId70" display="https://gertiq.senado.gov.br/redmine/projects/projeto007/issues?utf8=%E2%9C%93&amp;set_filter=1&amp;sort=id%3Adesc&amp;f%5B%5D=status_id&amp;op%5Bstatus_id%5D=c&amp;f%5B%5D=cf_74&amp;op%5Bcf_74%5D=%3E%3C&amp;v%5Bcf_74%5D%5B%5D=2022-02-01&amp;v%5Bcf_74%5D%5B%5D=2022-02-28&amp;f%5B%5D=created_on&amp;op%5Bcreated_on%5D=%3E%3D&amp;v%5Bcreated_on%5D%5B%5D=2022-03-01&amp;f%5B%5D=&amp;c%5B%5D=tracker&amp;c%5B%5D=status&amp;c%5B%5D=subject&amp;c%5B%5D=assigned_to&amp;c%5B%5D=created_on&amp;c%5B%5D=cf_74&amp;group_by=status&amp;t%5B%5D=" xr:uid="{00000000-0004-0000-0000-000052000000}"/>
    <hyperlink ref="I22" r:id="rId71" display="https://gertiq.senado.gov.br/redmine/projects/projeto007/issues?utf8=%E2%9C%93&amp;set_filter=1&amp;sort=created_on%2Cid%3Adesc&amp;f%5B%5D=status_id&amp;op%5Bstatus_id%5D=c&amp;f%5B%5D=cf_74&amp;op%5Bcf_74%5D=%3E%3C&amp;v%5Bcf_74%5D%5B%5D=2022-02-01&amp;v%5Bcf_74%5D%5B%5D=2022-02-28&amp;f%5B%5D=created_on&amp;op%5Bcreated_on%5D=%3E%3C&amp;v%5Bcreated_on%5D%5B%5D=2021-01-01&amp;v%5Bcreated_on%5D%5B%5D=2022-01-31&amp;f%5B%5D=&amp;c%5B%5D=tracker&amp;c%5B%5D=status&amp;c%5B%5D=subject&amp;c%5B%5D=assigned_to&amp;c%5B%5D=created_on&amp;c%5B%5D=cf_74&amp;group_by=&amp;t%5B%5D=" xr:uid="{00000000-0004-0000-0000-000054000000}"/>
    <hyperlink ref="C23" r:id="rId72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2-03-01&amp;v%5Bcf_74%5D%5B%5D=2022-03-31&amp;f%5B%5D=&amp;c%5B%5D=tracker&amp;c%5B%5D=status&amp;c%5B%5D=subject&amp;c%5B%5D=assigned_to&amp;c%5B%5D=spent_hours&amp;c%5B%5D=done_ratio&amp;c%5B%5D=cf_78&amp;group_by=status&amp;t%5B%5D=" xr:uid="{00000000-0004-0000-0000-000055000000}"/>
    <hyperlink ref="E23" r:id="rId73" display="https://gertiq.senado.gov.br/redmine/projects/projeto007/issues?utf8=%E2%9C%93&amp;set_filter=1&amp;sort=id%3Adesc&amp;f%5B%5D=created_on&amp;op%5Bcreated_on%5D=%3E%3C&amp;v%5Bcreated_on%5D%5B%5D=2022-03-01&amp;v%5Bcreated_on%5D%5B%5D=2022-03-31&amp;f%5B%5D=&amp;c%5B%5D=tracker&amp;c%5B%5D=status&amp;c%5B%5D=subject&amp;c%5B%5D=assigned_to&amp;c%5B%5D=spent_hours&amp;c%5B%5D=done_ratio&amp;c%5B%5D=cf_78&amp;group_by=status&amp;t%5B%5D=" xr:uid="{00000000-0004-0000-0000-000056000000}"/>
    <hyperlink ref="F23" r:id="rId74" display="https://gertiq.senado.gov.br/redmine/projects/projeto007/issues?utf8=%E2%9C%93&amp;set_filter=1&amp;sort=id%3Adesc&amp;f%5B%5D=created_on&amp;op%5Bcreated_on%5D=%3E%3C&amp;v%5Bcreated_on%5D%5B%5D=2022-03-01&amp;v%5Bcreated_on%5D%5B%5D=2022-03-31&amp;f%5B%5D=status_id&amp;op%5Bstatus_id%5D=c&amp;f%5B%5D=cf_74&amp;op%5Bcf_74%5D=%3E%3C&amp;v%5Bcf_74%5D%5B%5D=2022-03-01&amp;v%5Bcf_74%5D%5B%5D=2022-03-31&amp;f%5B%5D=&amp;c%5B%5D=tracker&amp;c%5B%5D=status&amp;c%5B%5D=subject&amp;c%5B%5D=assigned_to&amp;c%5B%5D=spent_hours&amp;c%5B%5D=done_ratio&amp;c%5B%5D=cf_78&amp;group_by=status&amp;t%5B%5D=" xr:uid="{00000000-0004-0000-0000-000057000000}"/>
    <hyperlink ref="G23" r:id="rId75" display="https://gertiq.senado.gov.br/redmine/projects/projeto007/issues?utf8=%E2%9C%93&amp;set_filter=1&amp;sort=id%3Adesc&amp;f%5B%5D=status_id&amp;op%5Bstatus_id%5D=c&amp;f%5B%5D=cf_74&amp;op%5Bcf_74%5D=%3E%3C&amp;v%5Bcf_74%5D%5B%5D=2022-03-01&amp;v%5Bcf_74%5D%5B%5D=2022-03-31&amp;f%5B%5D=created_on&amp;op%5Bcreated_on%5D=%3E%3D&amp;v%5Bcreated_on%5D%5B%5D=2022-04-01&amp;f%5B%5D=&amp;c%5B%5D=tracker&amp;c%5B%5D=status&amp;c%5B%5D=subject&amp;c%5B%5D=assigned_to&amp;c%5B%5D=created_on&amp;c%5B%5D=cf_74&amp;group_by=status&amp;t%5B%5D=" xr:uid="{00000000-0004-0000-0000-000058000000}"/>
    <hyperlink ref="I23" r:id="rId76" display="https://gertiq.senado.gov.br/redmine/projects/projeto007/issues?utf8=%E2%9C%93&amp;set_filter=1&amp;sort=created_on%2Cid%3Adesc&amp;f%5B%5D=status_id&amp;op%5Bstatus_id%5D=c&amp;f%5B%5D=cf_74&amp;op%5Bcf_74%5D=%3E%3C&amp;v%5Bcf_74%5D%5B%5D=2022-03-01&amp;v%5Bcf_74%5D%5B%5D=2022-03-31&amp;f%5B%5D=created_on&amp;op%5Bcreated_on%5D=%3E%3C&amp;v%5Bcreated_on%5D%5B%5D=2021-01-01&amp;v%5Bcreated_on%5D%5B%5D=2022-02-28&amp;f%5B%5D=&amp;c%5B%5D=tracker&amp;c%5B%5D=status&amp;c%5B%5D=subject&amp;c%5B%5D=assigned_to&amp;c%5B%5D=created_on&amp;c%5B%5D=cf_74&amp;group_by=&amp;t%5B%5D=" xr:uid="{00000000-0004-0000-0000-00005A000000}"/>
    <hyperlink ref="C24" r:id="rId77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2-04-01&amp;v%5Bcf_74%5D%5B%5D=2022-04-30&amp;f%5B%5D=&amp;c%5B%5D=tracker&amp;c%5B%5D=status&amp;c%5B%5D=subject&amp;c%5B%5D=assigned_to&amp;c%5B%5D=spent_hours&amp;c%5B%5D=done_ratio&amp;c%5B%5D=cf_78&amp;group_by=status&amp;t%5B%5D=" xr:uid="{00000000-0004-0000-0000-00005B000000}"/>
    <hyperlink ref="I24" r:id="rId78" display="https://gertiq.senado.gov.br/redmine/projects/projeto007/issues?utf8=%E2%9C%93&amp;set_filter=1&amp;sort=created_on%2Cid%3Adesc&amp;f%5B%5D=status_id&amp;op%5Bstatus_id%5D=c&amp;f%5B%5D=cf_74&amp;op%5Bcf_74%5D=%3E%3C&amp;v%5Bcf_74%5D%5B%5D=2022-04-01&amp;v%5Bcf_74%5D%5B%5D=2022-04-30&amp;f%5B%5D=created_on&amp;op%5Bcreated_on%5D=%3E%3C&amp;v%5Bcreated_on%5D%5B%5D=2021-01-01&amp;v%5Bcreated_on%5D%5B%5D=2022-03-31&amp;f%5B%5D=&amp;c%5B%5D=tracker&amp;c%5B%5D=status&amp;c%5B%5D=subject&amp;c%5B%5D=assigned_to&amp;c%5B%5D=created_on&amp;c%5B%5D=cf_74&amp;group_by=&amp;t%5B%5D=" xr:uid="{00000000-0004-0000-0000-00005F000000}"/>
    <hyperlink ref="H23" r:id="rId79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03-01&amp;v%5Bcreated_on%5D%5B%5D=2022-03-31&amp;f%5B%5D=&amp;c%5B%5D=tracker&amp;c%5B%5D=status&amp;c%5B%5D=subject&amp;c%5B%5D=assigned_to&amp;c%5B%5D=created_on&amp;group_by=status&amp;t%5B%5D=" xr:uid="{00000000-0004-0000-0000-000059000000}"/>
    <hyperlink ref="H22" r:id="rId80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02-01&amp;v%5Bcreated_on%5D%5B%5D=2022-02-28&amp;f%5B%5D=&amp;c%5B%5D=tracker&amp;c%5B%5D=status&amp;c%5B%5D=subject&amp;c%5B%5D=assigned_to&amp;c%5B%5D=created_on&amp;group_by=status&amp;t%5B%5D=" xr:uid="{00000000-0004-0000-0000-000053000000}"/>
    <hyperlink ref="H21" r:id="rId81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01-01&amp;v%5Bcreated_on%5D%5B%5D=2022-01-31&amp;f%5B%5D=&amp;c%5B%5D=tracker&amp;c%5B%5D=status&amp;c%5B%5D=subject&amp;c%5B%5D=assigned_to&amp;c%5B%5D=created_on&amp;group_by=status&amp;t%5B%5D=" xr:uid="{00000000-0004-0000-0000-00004D000000}"/>
    <hyperlink ref="H20" r:id="rId82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12-01&amp;v%5Bcreated_on%5D%5B%5D=2021-12-31&amp;f%5B%5D=&amp;c%5B%5D=tracker&amp;c%5B%5D=status&amp;c%5B%5D=subject&amp;c%5B%5D=assigned_to&amp;c%5B%5D=created_on&amp;group_by=status&amp;t%5B%5D=" xr:uid="{00000000-0004-0000-0000-000047000000}"/>
    <hyperlink ref="H19" r:id="rId83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11-01&amp;v%5Bcreated_on%5D%5B%5D=2021-11-30&amp;f%5B%5D=&amp;c%5B%5D=tracker&amp;c%5B%5D=status&amp;c%5B%5D=subject&amp;c%5B%5D=assigned_to&amp;c%5B%5D=created_on&amp;group_by=status&amp;t%5B%5D=" xr:uid="{00000000-0004-0000-0000-000041000000}"/>
    <hyperlink ref="H18" r:id="rId84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10-01&amp;v%5Bcreated_on%5D%5B%5D=2021-10-31&amp;f%5B%5D=&amp;c%5B%5D=tracker&amp;c%5B%5D=status&amp;c%5B%5D=subject&amp;c%5B%5D=assigned_to&amp;c%5B%5D=created_on&amp;group_by=status&amp;t%5B%5D=" xr:uid="{00000000-0004-0000-0000-00003B000000}"/>
    <hyperlink ref="H17" r:id="rId85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09-01&amp;v%5Bcreated_on%5D%5B%5D=2021-09-30&amp;f%5B%5D=&amp;c%5B%5D=tracker&amp;c%5B%5D=status&amp;c%5B%5D=subject&amp;c%5B%5D=assigned_to&amp;c%5B%5D=created_on&amp;group_by=status&amp;t%5B%5D=" xr:uid="{00000000-0004-0000-0000-000035000000}"/>
    <hyperlink ref="H16" r:id="rId86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08-01&amp;v%5Bcreated_on%5D%5B%5D=2021-08-31&amp;f%5B%5D=&amp;c%5B%5D=tracker&amp;c%5B%5D=status&amp;c%5B%5D=subject&amp;c%5B%5D=assigned_to&amp;c%5B%5D=created_on&amp;group_by=status&amp;t%5B%5D=" xr:uid="{00000000-0004-0000-0000-00002F000000}"/>
    <hyperlink ref="H15" r:id="rId87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07-01&amp;v%5Bcreated_on%5D%5B%5D=2021-07-31&amp;f%5B%5D=&amp;c%5B%5D=tracker&amp;c%5B%5D=status&amp;c%5B%5D=subject&amp;c%5B%5D=assigned_to&amp;c%5B%5D=created_on&amp;group_by=status&amp;t%5B%5D=" xr:uid="{00000000-0004-0000-0000-000029000000}"/>
    <hyperlink ref="H14" r:id="rId88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06-01&amp;v%5Bcreated_on%5D%5B%5D=2021-06-30&amp;f%5B%5D=&amp;c%5B%5D=tracker&amp;c%5B%5D=status&amp;c%5B%5D=subject&amp;c%5B%5D=assigned_to&amp;c%5B%5D=created_on&amp;group_by=status&amp;t%5B%5D=" xr:uid="{00000000-0004-0000-0000-000023000000}"/>
    <hyperlink ref="H13" r:id="rId89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05-01&amp;v%5Bcreated_on%5D%5B%5D=2021-05-31&amp;f%5B%5D=&amp;c%5B%5D=tracker&amp;c%5B%5D=status&amp;c%5B%5D=subject&amp;c%5B%5D=assigned_to&amp;c%5B%5D=created_on&amp;group_by=status&amp;t%5B%5D=" xr:uid="{00000000-0004-0000-0000-00001D000000}"/>
    <hyperlink ref="H12" r:id="rId90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04-01&amp;v%5Bcreated_on%5D%5B%5D=2021-04-30&amp;f%5B%5D=&amp;c%5B%5D=tracker&amp;c%5B%5D=status&amp;c%5B%5D=subject&amp;c%5B%5D=assigned_to&amp;c%5B%5D=created_on&amp;group_by=status&amp;t%5B%5D=" xr:uid="{00000000-0004-0000-0000-000017000000}"/>
    <hyperlink ref="H11" r:id="rId91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03-01&amp;v%5Bcreated_on%5D%5B%5D=2021-03-31&amp;f%5B%5D=&amp;c%5B%5D=tracker&amp;c%5B%5D=status&amp;c%5B%5D=subject&amp;c%5B%5D=assigned_to&amp;c%5B%5D=created_on&amp;group_by=status&amp;t%5B%5D=" xr:uid="{00000000-0004-0000-0000-000011000000}"/>
    <hyperlink ref="H10" r:id="rId92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02-01&amp;v%5Bcreated_on%5D%5B%5D=2021-02-28&amp;f%5B%5D=&amp;c%5B%5D=tracker&amp;c%5B%5D=status&amp;c%5B%5D=subject&amp;c%5B%5D=assigned_to&amp;c%5B%5D=created_on&amp;group_by=status&amp;t%5B%5D=" xr:uid="{00000000-0004-0000-0000-00000B000000}"/>
    <hyperlink ref="H9" r:id="rId93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1-01-01&amp;v%5Bcreated_on%5D%5B%5D=2021-01-31&amp;f%5B%5D=&amp;c%5B%5D=tracker&amp;c%5B%5D=status&amp;c%5B%5D=subject&amp;c%5B%5D=assigned_to&amp;c%5B%5D=created_on&amp;group_by=status&amp;t%5B%5D=" xr:uid="{00000000-0004-0000-0000-000006000000}"/>
    <hyperlink ref="H24" r:id="rId94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04-01&amp;v%5Bcreated_on%5D%5B%5D=2022-04-30&amp;f%5B%5D=&amp;c%5B%5D=tracker&amp;c%5B%5D=status&amp;c%5B%5D=subject&amp;c%5B%5D=assigned_to&amp;c%5B%5D=created_on&amp;group_by=status&amp;t%5B%5D=" xr:uid="{00000000-0004-0000-0000-00005E000000}"/>
    <hyperlink ref="F24" r:id="rId95" display="https://gertiq.senado.gov.br/redmine/projects/projeto007/issues?utf8=%E2%9C%93&amp;set_filter=1&amp;sort=id%3Adesc&amp;f%5B%5D=created_on&amp;op%5Bcreated_on%5D=%3E%3C&amp;v%5Bcreated_on%5D%5B%5D=2022-04-01&amp;v%5Bcreated_on%5D%5B%5D=2022-04-30&amp;f%5B%5D=status_id&amp;op%5Bstatus_id%5D=c&amp;f%5B%5D=cf_74&amp;op%5Bcf_74%5D=%3E%3C&amp;v%5Bcf_74%5D%5B%5D=2022-04-01&amp;v%5Bcf_74%5D%5B%5D=2022-04-30&amp;f%5B%5D=&amp;c%5B%5D=tracker&amp;c%5B%5D=status&amp;c%5B%5D=subject&amp;c%5B%5D=assigned_to&amp;c%5B%5D=spent_hours&amp;c%5B%5D=done_ratio&amp;c%5B%5D=cf_78&amp;group_by=status&amp;t%5B%5D=" xr:uid="{00000000-0004-0000-0000-00005D000000}"/>
    <hyperlink ref="E24" r:id="rId96" display="https://gertiq.senado.gov.br/redmine/projects/projeto007/issues?utf8=%E2%9C%93&amp;set_filter=1&amp;sort=id%3Adesc&amp;f%5B%5D=created_on&amp;op%5Bcreated_on%5D=%3E%3C&amp;v%5Bcreated_on%5D%5B%5D=2022-04-01&amp;v%5Bcreated_on%5D%5B%5D=2022-04-30&amp;f%5B%5D=&amp;c%5B%5D=tracker&amp;c%5B%5D=status&amp;c%5B%5D=subject&amp;c%5B%5D=assigned_to&amp;c%5B%5D=spent_hours&amp;c%5B%5D=done_ratio&amp;c%5B%5D=cf_78&amp;group_by=status&amp;t%5B%5D=" xr:uid="{00000000-0004-0000-0000-00005C000000}"/>
    <hyperlink ref="C25" r:id="rId97" display="7" xr:uid="{47528239-DED6-422D-AD4A-CE7557F207F6}"/>
    <hyperlink ref="C26" r:id="rId98" display="16" xr:uid="{A3AE730F-DD64-4A2C-8043-D31383450C17}"/>
    <hyperlink ref="C27" r:id="rId99" display="19" xr:uid="{B37234CD-1D97-4518-9D78-8850334A5C0D}"/>
    <hyperlink ref="E25" r:id="rId100" display="533" xr:uid="{2ACB47D8-3ADC-40AA-82CD-05CFFE96345E}"/>
    <hyperlink ref="E26" r:id="rId101" display="516" xr:uid="{D6C4F0BD-99F1-42B4-969B-37B8429A63A5}"/>
    <hyperlink ref="E27" r:id="rId102" display="290" xr:uid="{03663F8F-9FEA-4B13-B341-C68961D48386}"/>
    <hyperlink ref="F25" r:id="rId103" display="382" xr:uid="{12ED4D6F-79A5-4A0F-8F7C-D15A90A9E622}"/>
    <hyperlink ref="F26" r:id="rId104" display="358" xr:uid="{46F0DD80-FCA7-4D33-8882-EA22D44DE9A1}"/>
    <hyperlink ref="F27" r:id="rId105" display="212" xr:uid="{607E1310-9D7A-42F2-9DF7-61BE992A061A}"/>
    <hyperlink ref="G24" r:id="rId106" display="5" xr:uid="{3D2A6E7F-3D46-4F72-B83F-55BD7E76C5D1}"/>
    <hyperlink ref="G25" r:id="rId107" display="0" xr:uid="{75F5F9BC-48BE-4D71-8042-05FE8826F09E}"/>
    <hyperlink ref="G26" r:id="rId108" display="0" xr:uid="{7F7960B1-B3AC-4973-9FF9-8EFD203FBDA5}"/>
    <hyperlink ref="G27" r:id="rId109" display="18" xr:uid="{E1DC0C5A-BA9D-49C5-B92F-4ED73A564677}"/>
    <hyperlink ref="H25" r:id="rId110" display="0" xr:uid="{C809AB1E-F2FA-42D0-8932-9924F1491AAB}"/>
    <hyperlink ref="H26" r:id="rId111" display="1" xr:uid="{4C46BE5C-C7E3-4B15-9CE9-5091452876AF}"/>
    <hyperlink ref="H27" r:id="rId112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07-01&amp;v%5Bcreated_on%5D%5B%5D=2022-07-31&amp;f%5B%5D=&amp;c%5B%5D=tracker&amp;c%5B%5D=status&amp;c%5B%5D=subject&amp;c%5B%5D=assigned_to&amp;c%5B%5D=created_on&amp;group_by=status&amp;t%5B%5D=" xr:uid="{26993B60-4B34-4AE9-A261-738D07C21424}"/>
    <hyperlink ref="I25" r:id="rId113" display="110" xr:uid="{03B6A70C-9A73-4717-8551-8738ED483B85}"/>
    <hyperlink ref="I26" r:id="rId114" display="131" xr:uid="{3B698F41-FA39-4779-ACD2-A8154172A2E7}"/>
    <hyperlink ref="I27" r:id="rId115" display="91" xr:uid="{F2A08656-C842-4C3C-9A78-647CA55C5EA5}"/>
    <hyperlink ref="C28" r:id="rId116" display="9" xr:uid="{86C0AD6E-C8B8-4D5C-B062-B59926E6744E}"/>
    <hyperlink ref="C29" r:id="rId117" display="19" xr:uid="{EB1F3AA5-144B-4D61-B9E7-7B880703904F}"/>
    <hyperlink ref="C30" r:id="rId118" display="12" xr:uid="{94DA9162-3A44-4D0A-9158-A2F7828CE6C9}"/>
    <hyperlink ref="C31" r:id="rId119" display="13" xr:uid="{F7A65068-E65B-4CA0-B88C-3487C9B2E8A7}"/>
    <hyperlink ref="E28" r:id="rId120" display="559" xr:uid="{D098B4E8-E2B8-40F7-B446-9C3A379A10DF}"/>
    <hyperlink ref="E29" r:id="rId121" display="489" xr:uid="{B65044A9-4491-4A0D-A08E-EDE3603EAE5B}"/>
    <hyperlink ref="E30" r:id="rId122" display="406" xr:uid="{0BB471FC-7105-4E68-8932-8C98DDB06C47}"/>
    <hyperlink ref="E31" r:id="rId123" display="693" xr:uid="{BD9ECD8D-18A9-424B-B711-31561829147D}"/>
    <hyperlink ref="F28" r:id="rId124" display="357" xr:uid="{1EF0B7D6-87A1-4864-8745-A5C4052BF46E}"/>
    <hyperlink ref="F29" r:id="rId125" display="337" xr:uid="{FDC21BD5-7A62-4186-A2A2-A82D86401B69}"/>
    <hyperlink ref="F30" r:id="rId126" display="293" xr:uid="{B2AE30A1-A9E8-4D56-8FCF-6B2ACBA15AB6}"/>
    <hyperlink ref="F31" r:id="rId127" display="373" xr:uid="{07BD00B6-B879-48A8-948A-37C8AE3056A0}"/>
    <hyperlink ref="G28" r:id="rId128" display="https://gertiq.senado.gov.br/redmine/projects/projeto007/issues?utf8=%E2%9C%93&amp;set_filter=1&amp;sort=id%3Adesc&amp;f%5B%5D=status_id&amp;op%5Bstatus_id%5D=c&amp;f%5B%5D=cf_74&amp;op%5Bcf_74%5D=%3E%3C&amp;v%5Bcf_74%5D%5B%5D=2022-08-01&amp;v%5Bcf_74%5D%5B%5D=2022-08-31&amp;f%5B%5D=created_on&amp;op%5Bcreated_on%5D=%3E%3D&amp;v%5Bcreated_on%5D%5B%5D=2022-09-01&amp;f%5B%5D=&amp;c%5B%5D=tracker&amp;c%5B%5D=status&amp;c%5B%5D=subject&amp;c%5B%5D=assigned_to&amp;c%5B%5D=created_on&amp;c%5B%5D=cf_74&amp;group_by=status&amp;t%5B%5D=" xr:uid="{78FED9A0-D034-4C72-A7D9-DA43E8D14129}"/>
    <hyperlink ref="G29" r:id="rId129" display="https://gertiq.senado.gov.br/redmine/projects/projeto007/issues?utf8=%E2%9C%93&amp;set_filter=1&amp;sort=id%3Adesc&amp;f%5B%5D=status_id&amp;op%5Bstatus_id%5D=c&amp;f%5B%5D=cf_74&amp;op%5Bcf_74%5D=%3E%3C&amp;v%5Bcf_74%5D%5B%5D=2022-09-01&amp;v%5Bcf_74%5D%5B%5D=2022-09-30&amp;f%5B%5D=created_on&amp;op%5Bcreated_on%5D=%3E%3D&amp;v%5Bcreated_on%5D%5B%5D=2022-10-01&amp;f%5B%5D=&amp;c%5B%5D=tracker&amp;c%5B%5D=status&amp;c%5B%5D=subject&amp;c%5B%5D=assigned_to&amp;c%5B%5D=created_on&amp;c%5B%5D=cf_74&amp;group_by=status&amp;t%5B%5D=" xr:uid="{38EEECAD-C9E9-4278-BB7C-5857AFB4AA68}"/>
    <hyperlink ref="G30" r:id="rId130" display="https://gertiq.senado.gov.br/redmine/projects/projeto007/issues?utf8=%E2%9C%93&amp;set_filter=1&amp;sort=id%3Adesc&amp;f%5B%5D=status_id&amp;op%5Bstatus_id%5D=c&amp;f%5B%5D=cf_74&amp;op%5Bcf_74%5D=%3E%3C&amp;v%5Bcf_74%5D%5B%5D=2022-10-01&amp;v%5Bcf_74%5D%5B%5D=2022-10-31&amp;f%5B%5D=created_on&amp;op%5Bcreated_on%5D=%3E%3D&amp;v%5Bcreated_on%5D%5B%5D=2022-11-01&amp;f%5B%5D=&amp;c%5B%5D=tracker&amp;c%5B%5D=status&amp;c%5B%5D=subject&amp;c%5B%5D=assigned_to&amp;c%5B%5D=created_on&amp;c%5B%5D=cf_74&amp;group_by=status&amp;t%5B%5D=" xr:uid="{2A258679-87E2-465B-856A-0AC2188D2A0E}"/>
    <hyperlink ref="G31" r:id="rId131" display="https://gertiq.senado.gov.br/redmine/projects/projeto007/issues?utf8=%E2%9C%93&amp;set_filter=1&amp;sort=id%3Adesc&amp;f%5B%5D=status_id&amp;op%5Bstatus_id%5D=c&amp;f%5B%5D=cf_74&amp;op%5Bcf_74%5D=%3E%3C&amp;v%5Bcf_74%5D%5B%5D=2022-11-01&amp;v%5Bcf_74%5D%5B%5D=2022-11-30&amp;f%5B%5D=created_on&amp;op%5Bcreated_on%5D=%3E%3D&amp;v%5Bcreated_on%5D%5B%5D=2022-12-01&amp;f%5B%5D=&amp;c%5B%5D=tracker&amp;c%5B%5D=status&amp;c%5B%5D=subject&amp;c%5B%5D=assigned_to&amp;c%5B%5D=created_on&amp;c%5B%5D=cf_74&amp;group_by=status&amp;t%5B%5D=" xr:uid="{1AFF02A9-2974-4C97-937A-1C8FB7939619}"/>
    <hyperlink ref="H28" r:id="rId132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08-01&amp;v%5Bcreated_on%5D%5B%5D=2022-08-31&amp;f%5B%5D=&amp;c%5B%5D=tracker&amp;c%5B%5D=status&amp;c%5B%5D=subject&amp;c%5B%5D=assigned_to&amp;c%5B%5D=created_on&amp;group_by=status&amp;t%5B%5D=" xr:uid="{4A75AA28-F347-48FF-8AF0-1A960438315E}"/>
    <hyperlink ref="H29" r:id="rId133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09-01&amp;v%5Bcreated_on%5D%5B%5D=2022-09-30&amp;f%5B%5D=&amp;c%5B%5D=tracker&amp;c%5B%5D=status&amp;c%5B%5D=subject&amp;c%5B%5D=assigned_to&amp;c%5B%5D=created_on&amp;group_by=status&amp;t%5B%5D=" xr:uid="{75AF6E3C-A281-49C1-A8F6-72309BB938C1}"/>
    <hyperlink ref="H30" r:id="rId134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10-01&amp;v%5Bcreated_on%5D%5B%5D=2022-10-31&amp;f%5B%5D=&amp;c%5B%5D=tracker&amp;c%5B%5D=status&amp;c%5B%5D=subject&amp;c%5B%5D=assigned_to&amp;c%5B%5D=created_on&amp;group_by=status&amp;t%5B%5D=" xr:uid="{CEBC9FDE-7723-4FF5-8452-69298533D2EE}"/>
    <hyperlink ref="H31" r:id="rId135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11-01&amp;v%5Bcreated_on%5D%5B%5D=2022-11-30&amp;f%5B%5D=&amp;c%5B%5D=tracker&amp;c%5B%5D=status&amp;c%5B%5D=subject&amp;c%5B%5D=assigned_to&amp;c%5B%5D=created_on&amp;group_by=status&amp;t%5B%5D=" xr:uid="{896E4E68-86B0-4DBA-8BC2-78E9ACEA4206}"/>
    <hyperlink ref="I28" r:id="rId136" display="https://gertiq.senado.gov.br/redmine/projects/projeto007/issues?utf8=%E2%9C%93&amp;set_filter=1&amp;sort=created_on%2Cid%3Adesc&amp;f%5B%5D=status_id&amp;op%5Bstatus_id%5D=c&amp;f%5B%5D=cf_74&amp;op%5Bcf_74%5D=%3E%3C&amp;v%5Bcf_74%5D%5B%5D=2022-08-01&amp;v%5Bcf_74%5D%5B%5D=2022-08-31&amp;f%5B%5D=created_on&amp;op%5Bcreated_on%5D=%3E%3C&amp;v%5Bcreated_on%5D%5B%5D=2021-01-01&amp;v%5Bcreated_on%5D%5B%5D=2022-07-31&amp;f%5B%5D=&amp;c%5B%5D=tracker&amp;c%5B%5D=status&amp;c%5B%5D=subject&amp;c%5B%5D=assigned_to&amp;c%5B%5D=created_on&amp;c%5B%5D=cf_74&amp;group_by=&amp;t%5B%5D=" xr:uid="{39B0DBFD-15A3-4A9D-A6B3-3C45F34C6977}"/>
    <hyperlink ref="I29" r:id="rId137" display="https://gertiq.senado.gov.br/redmine/projects/projeto007/issues?utf8=%E2%9C%93&amp;set_filter=1&amp;sort=created_on%2Cid%3Adesc&amp;f%5B%5D=status_id&amp;op%5Bstatus_id%5D=c&amp;f%5B%5D=cf_74&amp;op%5Bcf_74%5D=%3E%3C&amp;v%5Bcf_74%5D%5B%5D=2022-09-01&amp;v%5Bcf_74%5D%5B%5D=2022-09-30&amp;f%5B%5D=created_on&amp;op%5Bcreated_on%5D=%3E%3C&amp;v%5Bcreated_on%5D%5B%5D=2021-01-01&amp;v%5Bcreated_on%5D%5B%5D=2022-08-31&amp;f%5B%5D=&amp;c%5B%5D=tracker&amp;c%5B%5D=status&amp;c%5B%5D=subject&amp;c%5B%5D=assigned_to&amp;c%5B%5D=created_on&amp;c%5B%5D=cf_74&amp;group_by=&amp;t%5B%5D=" xr:uid="{63518F4B-365C-48D4-9326-390184DAC031}"/>
    <hyperlink ref="I30" r:id="rId138" display="https://gertiq.senado.gov.br/redmine/projects/projeto007/issues?utf8=%E2%9C%93&amp;set_filter=1&amp;sort=created_on%2Cid%3Adesc&amp;f%5B%5D=status_id&amp;op%5Bstatus_id%5D=c&amp;f%5B%5D=cf_74&amp;op%5Bcf_74%5D=%3E%3C&amp;v%5Bcf_74%5D%5B%5D=2022-10-01&amp;v%5Bcf_74%5D%5B%5D=2022-10-31&amp;f%5B%5D=created_on&amp;op%5Bcreated_on%5D=%3E%3C&amp;v%5Bcreated_on%5D%5B%5D=2021-01-01&amp;v%5Bcreated_on%5D%5B%5D=2022-09-30&amp;f%5B%5D=&amp;c%5B%5D=tracker&amp;c%5B%5D=status&amp;c%5B%5D=subject&amp;c%5B%5D=assigned_to&amp;c%5B%5D=created_on&amp;c%5B%5D=cf_74&amp;group_by=&amp;t%5B%5D=" xr:uid="{46628473-9134-4F8F-ACB4-83BBBB1C201F}"/>
    <hyperlink ref="I31" r:id="rId139" display="https://gertiq.senado.gov.br/redmine/projects/projeto007/issues?utf8=%E2%9C%93&amp;set_filter=1&amp;sort=created_on%2Cid%3Adesc&amp;f%5B%5D=status_id&amp;op%5Bstatus_id%5D=c&amp;f%5B%5D=cf_74&amp;op%5Bcf_74%5D=%3E%3C&amp;v%5Bcf_74%5D%5B%5D=2022-11-01&amp;v%5Bcf_74%5D%5B%5D=2022-11-30&amp;f%5B%5D=created_on&amp;op%5Bcreated_on%5D=%3E%3C&amp;v%5Bcreated_on%5D%5B%5D=2021-01-01&amp;v%5Bcreated_on%5D%5B%5D=2022-10-31&amp;f%5B%5D=&amp;c%5B%5D=tracker&amp;c%5B%5D=status&amp;c%5B%5D=subject&amp;c%5B%5D=assigned_to&amp;c%5B%5D=created_on&amp;c%5B%5D=cf_74&amp;group_by=&amp;t%5B%5D=" xr:uid="{9A6E8666-9DD7-4853-9D46-B0327598D00F}"/>
    <hyperlink ref="C32" r:id="rId140" display="312" xr:uid="{79E13BC9-1C13-4DBC-BBFC-F4E1BD7840DB}"/>
    <hyperlink ref="E32" r:id="rId141" display="532" xr:uid="{25DF5A0F-9630-4160-A512-5136DF87BE63}"/>
    <hyperlink ref="F32" r:id="rId142" display="340" xr:uid="{4334A6E8-F0A9-4EB8-BE6C-C601AE7B069B}"/>
    <hyperlink ref="G32" r:id="rId143" display="https://gertiq.senado.gov.br/redmine/projects/projeto007/issues?utf8=%E2%9C%93&amp;set_filter=1&amp;sort=id%3Adesc&amp;f%5B%5D=status_id&amp;op%5Bstatus_id%5D=c&amp;f%5B%5D=cf_74&amp;op%5Bcf_74%5D=%3E%3C&amp;v%5Bcf_74%5D%5B%5D=2022-12-01&amp;v%5Bcf_74%5D%5B%5D=2022-12-31&amp;f%5B%5D=created_on&amp;op%5Bcreated_on%5D=%3E%3D&amp;v%5Bcreated_on%5D%5B%5D=2023-01-01&amp;f%5B%5D=&amp;c%5B%5D=tracker&amp;c%5B%5D=status&amp;c%5B%5D=subject&amp;c%5B%5D=assigned_to&amp;c%5B%5D=created_on&amp;c%5B%5D=cf_74&amp;group_by=status&amp;t%5B%5D=" xr:uid="{16B8B008-29E3-431A-9B33-A001AF06943C}"/>
    <hyperlink ref="H32" r:id="rId144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2-12-01&amp;v%5Bcreated_on%5D%5B%5D=2022-12-31&amp;f%5B%5D=&amp;c%5B%5D=tracker&amp;c%5B%5D=status&amp;c%5B%5D=subject&amp;c%5B%5D=assigned_to&amp;c%5B%5D=created_on&amp;group_by=status&amp;t%5B%5D=" xr:uid="{35489F4B-D88A-425B-B3E6-AD6FDC563839}"/>
    <hyperlink ref="I32" r:id="rId145" display="https://gertiq.senado.gov.br/redmine/projects/projeto007/issues?utf8=%E2%9C%93&amp;set_filter=1&amp;sort=created_on%2Cid%3Adesc&amp;f%5B%5D=status_id&amp;op%5Bstatus_id%5D=c&amp;f%5B%5D=cf_74&amp;op%5Bcf_74%5D=%3E%3C&amp;v%5Bcf_74%5D%5B%5D=2022-12-01&amp;v%5Bcf_74%5D%5B%5D=2022-12-31&amp;f%5B%5D=created_on&amp;op%5Bcreated_on%5D=%3E%3C&amp;v%5Bcreated_on%5D%5B%5D=2021-01-01&amp;v%5Bcreated_on%5D%5B%5D=2022-11-30&amp;f%5B%5D=&amp;c%5B%5D=tracker&amp;c%5B%5D=status&amp;c%5B%5D=subject&amp;c%5B%5D=assigned_to&amp;c%5B%5D=created_on&amp;c%5B%5D=cf_74&amp;group_by=&amp;t%5B%5D=" xr:uid="{0BBF2228-FC83-409C-99D3-7565AFE17E20}"/>
    <hyperlink ref="C33" r:id="rId146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01-01&amp;v%5Bcf_74%5D%5B%5D=2023-01-31&amp;f%5B%5D=&amp;c%5B%5D=tracker&amp;c%5B%5D=status&amp;c%5B%5D=subject&amp;c%5B%5D=assigned_to&amp;c%5B%5D=spent_hours&amp;c%5B%5D=done_ratio&amp;c%5B%5D=cf_78&amp;group_by=status&amp;t%5B%5D=" xr:uid="{3480315B-BE51-40B1-AE1D-36112CCD5A97}"/>
    <hyperlink ref="C34" r:id="rId147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02-01&amp;v%5Bcf_74%5D%5B%5D=2023-02-28&amp;f%5B%5D=&amp;c%5B%5D=tracker&amp;c%5B%5D=status&amp;c%5B%5D=subject&amp;c%5B%5D=assigned_to&amp;c%5B%5D=spent_hours&amp;c%5B%5D=done_ratio&amp;c%5B%5D=cf_78&amp;group_by=status&amp;t%5B%5D=" xr:uid="{162A7E14-A058-41ED-B9A1-E197D172614B}"/>
    <hyperlink ref="C35" r:id="rId148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03-01&amp;v%5Bcf_74%5D%5B%5D=2023-03-31&amp;f%5B%5D=&amp;c%5B%5D=tracker&amp;c%5B%5D=status&amp;c%5B%5D=subject&amp;c%5B%5D=assigned_to&amp;c%5B%5D=spent_hours&amp;c%5B%5D=done_ratio&amp;c%5B%5D=cf_78&amp;group_by=status&amp;t%5B%5D=" xr:uid="{E6B5AA1C-4B88-4E53-B61B-ACC0FD579018}"/>
    <hyperlink ref="C36" r:id="rId149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04-01&amp;v%5Bcf_74%5D%5B%5D=2023-04-30&amp;f%5B%5D=&amp;c%5B%5D=tracker&amp;c%5B%5D=status&amp;c%5B%5D=subject&amp;c%5B%5D=assigned_to&amp;c%5B%5D=spent_hours&amp;c%5B%5D=done_ratio&amp;c%5B%5D=cf_78&amp;group_by=status&amp;t%5B%5D=" xr:uid="{02F26F0A-0C61-4E91-96F9-5E2358061AA1}"/>
    <hyperlink ref="C37" r:id="rId150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05-01&amp;v%5Bcf_74%5D%5B%5D=2023-05-31&amp;f%5B%5D=&amp;c%5B%5D=tracker&amp;c%5B%5D=status&amp;c%5B%5D=subject&amp;c%5B%5D=assigned_to&amp;c%5B%5D=spent_hours&amp;c%5B%5D=done_ratio&amp;c%5B%5D=cf_78&amp;group_by=status&amp;t%5B%5D=" xr:uid="{19610E11-4E0D-4775-8F02-E3A8C31446B7}"/>
    <hyperlink ref="C38" r:id="rId151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06-01&amp;v%5Bcf_74%5D%5B%5D=2023-06-30&amp;f%5B%5D=&amp;c%5B%5D=tracker&amp;c%5B%5D=status&amp;c%5B%5D=subject&amp;c%5B%5D=assigned_to&amp;c%5B%5D=spent_hours&amp;c%5B%5D=done_ratio&amp;c%5B%5D=cf_78&amp;group_by=status&amp;t%5B%5D=" xr:uid="{D74F1D78-D799-4EDB-8F85-55ADDFFE7305}"/>
    <hyperlink ref="C39" r:id="rId152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07-01&amp;v%5Bcf_74%5D%5B%5D=2023-07-31&amp;f%5B%5D=&amp;c%5B%5D=tracker&amp;c%5B%5D=status&amp;c%5B%5D=subject&amp;c%5B%5D=assigned_to&amp;c%5B%5D=spent_hours&amp;c%5B%5D=done_ratio&amp;c%5B%5D=cf_78&amp;group_by=status&amp;t%5B%5D=" xr:uid="{79CE6557-4563-4C9B-B94B-9DEF064FD5E5}"/>
    <hyperlink ref="C40" r:id="rId153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08-01&amp;v%5Bcf_74%5D%5B%5D=2023-08-31&amp;f%5B%5D=&amp;c%5B%5D=tracker&amp;c%5B%5D=status&amp;c%5B%5D=subject&amp;c%5B%5D=assigned_to&amp;c%5B%5D=spent_hours&amp;c%5B%5D=done_ratio&amp;c%5B%5D=cf_78&amp;group_by=status&amp;t%5B%5D=" xr:uid="{7DCCCE11-28F3-49C4-8DA4-AE009136ADF4}"/>
    <hyperlink ref="C41" r:id="rId154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09-01&amp;v%5Bcf_74%5D%5B%5D=2023-09-30&amp;f%5B%5D=&amp;c%5B%5D=tracker&amp;c%5B%5D=status&amp;c%5B%5D=subject&amp;c%5B%5D=assigned_to&amp;c%5B%5D=spent_hours&amp;c%5B%5D=done_ratio&amp;c%5B%5D=cf_78&amp;group_by=status&amp;t%5B%5D=" xr:uid="{63E5CF1D-56D7-40F7-A823-C9D4FA60300F}"/>
    <hyperlink ref="C42" r:id="rId155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10-01&amp;v%5Bcf_74%5D%5B%5D=2023-10-31&amp;f%5B%5D=&amp;c%5B%5D=tracker&amp;c%5B%5D=status&amp;c%5B%5D=subject&amp;c%5B%5D=assigned_to&amp;c%5B%5D=spent_hours&amp;c%5B%5D=done_ratio&amp;c%5B%5D=cf_78&amp;group_by=status&amp;t%5B%5D=" xr:uid="{251DE805-2735-4127-BA63-5DFAE73FB8AD}"/>
    <hyperlink ref="C43" r:id="rId156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11-01&amp;v%5Bcf_74%5D%5B%5D=2023-11-30&amp;f%5B%5D=&amp;c%5B%5D=tracker&amp;c%5B%5D=status&amp;c%5B%5D=subject&amp;c%5B%5D=assigned_to&amp;c%5B%5D=spent_hours&amp;c%5B%5D=done_ratio&amp;c%5B%5D=cf_78&amp;group_by=status&amp;t%5B%5D=" xr:uid="{6EBD3C92-60C7-4241-AFD8-B9836326FDA6}"/>
    <hyperlink ref="E43" r:id="rId157" display="https://gertiq.senado.gov.br/redmine/projects/projeto007/issues?utf8=%E2%9C%93&amp;set_filter=1&amp;sort=id%3Adesc&amp;f%5B%5D=created_on&amp;op%5Bcreated_on%5D=%3E%3C&amp;v%5Bcreated_on%5D%5B%5D=2023-11-01&amp;v%5Bcreated_on%5D%5B%5D=2023-11-30&amp;f%5B%5D=&amp;c%5B%5D=tracker&amp;c%5B%5D=status&amp;c%5B%5D=subject&amp;c%5B%5D=assigned_to&amp;c%5B%5D=spent_hours&amp;c%5B%5D=done_ratio&amp;c%5B%5D=cf_78&amp;group_by=status&amp;t%5B%5D=" xr:uid="{6D1D4F12-B508-470B-918E-31A54C5B5FC2}"/>
    <hyperlink ref="E42" r:id="rId158" display="https://gertiq.senado.gov.br/redmine/projects/projeto007/issues?utf8=%E2%9C%93&amp;set_filter=1&amp;sort=id%3Adesc&amp;f%5B%5D=created_on&amp;op%5Bcreated_on%5D=%3E%3C&amp;v%5Bcreated_on%5D%5B%5D=2023-10-01&amp;v%5Bcreated_on%5D%5B%5D=2023-10-31&amp;f%5B%5D=&amp;c%5B%5D=tracker&amp;c%5B%5D=status&amp;c%5B%5D=subject&amp;c%5B%5D=assigned_to&amp;c%5B%5D=spent_hours&amp;c%5B%5D=done_ratio&amp;c%5B%5D=cf_78&amp;group_by=status&amp;t%5B%5D=" xr:uid="{F3DFAE83-C89B-4F07-8435-267ED966D99A}"/>
    <hyperlink ref="E41" r:id="rId159" display="https://gertiq.senado.gov.br/redmine/projects/projeto007/issues?utf8=%E2%9C%93&amp;set_filter=1&amp;sort=id%3Adesc&amp;f%5B%5D=created_on&amp;op%5Bcreated_on%5D=%3E%3C&amp;v%5Bcreated_on%5D%5B%5D=2023-09-01&amp;v%5Bcreated_on%5D%5B%5D=2023-09-30&amp;f%5B%5D=&amp;c%5B%5D=tracker&amp;c%5B%5D=status&amp;c%5B%5D=subject&amp;c%5B%5D=assigned_to&amp;c%5B%5D=spent_hours&amp;c%5B%5D=done_ratio&amp;c%5B%5D=cf_78&amp;group_by=status&amp;t%5B%5D=" xr:uid="{84B02D93-5052-462E-AB21-788FB233892F}"/>
    <hyperlink ref="E40" r:id="rId160" display="https://gertiq.senado.gov.br/redmine/projects/projeto007/issues?utf8=%E2%9C%93&amp;set_filter=1&amp;sort=id%3Adesc&amp;f%5B%5D=created_on&amp;op%5Bcreated_on%5D=%3E%3C&amp;v%5Bcreated_on%5D%5B%5D=2023-08-01&amp;v%5Bcreated_on%5D%5B%5D=2023-08-31&amp;f%5B%5D=&amp;c%5B%5D=tracker&amp;c%5B%5D=status&amp;c%5B%5D=subject&amp;c%5B%5D=assigned_to&amp;c%5B%5D=spent_hours&amp;c%5B%5D=done_ratio&amp;c%5B%5D=cf_78&amp;group_by=status&amp;t%5B%5D=" xr:uid="{35216B4B-71EB-4D6A-B80A-0F3AB1F2CFEC}"/>
    <hyperlink ref="E39" r:id="rId161" display="https://gertiq.senado.gov.br/redmine/projects/projeto007/issues?utf8=%E2%9C%93&amp;set_filter=1&amp;sort=id%3Adesc&amp;f%5B%5D=created_on&amp;op%5Bcreated_on%5D=%3E%3C&amp;v%5Bcreated_on%5D%5B%5D=2023-07-01&amp;v%5Bcreated_on%5D%5B%5D=2023-07-31&amp;f%5B%5D=&amp;c%5B%5D=tracker&amp;c%5B%5D=status&amp;c%5B%5D=subject&amp;c%5B%5D=assigned_to&amp;c%5B%5D=spent_hours&amp;c%5B%5D=done_ratio&amp;c%5B%5D=cf_78&amp;group_by=status&amp;t%5B%5D=" xr:uid="{5F0DBADF-7562-410C-B05D-F9AF53F53E6C}"/>
    <hyperlink ref="E38" r:id="rId162" display="https://gertiq.senado.gov.br/redmine/projects/projeto007/issues?utf8=%E2%9C%93&amp;set_filter=1&amp;sort=id%3Adesc&amp;f%5B%5D=created_on&amp;op%5Bcreated_on%5D=%3E%3C&amp;v%5Bcreated_on%5D%5B%5D=2023-06-01&amp;v%5Bcreated_on%5D%5B%5D=2023-06-30&amp;f%5B%5D=&amp;c%5B%5D=tracker&amp;c%5B%5D=status&amp;c%5B%5D=subject&amp;c%5B%5D=assigned_to&amp;c%5B%5D=spent_hours&amp;c%5B%5D=done_ratio&amp;c%5B%5D=cf_78&amp;group_by=status&amp;t%5B%5D=" xr:uid="{3A22B1EA-B357-47B0-A32F-9B7E4A02D88C}"/>
    <hyperlink ref="E37" r:id="rId163" display="https://gertiq.senado.gov.br/redmine/projects/projeto007/issues?utf8=%E2%9C%93&amp;set_filter=1&amp;sort=id%3Adesc&amp;f%5B%5D=created_on&amp;op%5Bcreated_on%5D=%3E%3C&amp;v%5Bcreated_on%5D%5B%5D=2023-05-01&amp;v%5Bcreated_on%5D%5B%5D=2023-05-31&amp;f%5B%5D=&amp;c%5B%5D=tracker&amp;c%5B%5D=status&amp;c%5B%5D=subject&amp;c%5B%5D=assigned_to&amp;c%5B%5D=spent_hours&amp;c%5B%5D=done_ratio&amp;c%5B%5D=cf_78&amp;group_by=status&amp;t%5B%5D=" xr:uid="{FD1D0E96-C76C-4CFC-9132-61AFAC26E33B}"/>
    <hyperlink ref="E36" r:id="rId164" display="https://gertiq.senado.gov.br/redmine/projects/projeto007/issues?utf8=%E2%9C%93&amp;set_filter=1&amp;sort=id%3Adesc&amp;f%5B%5D=created_on&amp;op%5Bcreated_on%5D=%3E%3C&amp;v%5Bcreated_on%5D%5B%5D=2023-04-01&amp;v%5Bcreated_on%5D%5B%5D=2023-04-30&amp;f%5B%5D=&amp;c%5B%5D=tracker&amp;c%5B%5D=status&amp;c%5B%5D=subject&amp;c%5B%5D=assigned_to&amp;c%5B%5D=spent_hours&amp;c%5B%5D=done_ratio&amp;c%5B%5D=cf_78&amp;group_by=status&amp;t%5B%5D=" xr:uid="{58B04F6F-FA9C-4444-A427-FD62890D1D8A}"/>
    <hyperlink ref="E35" r:id="rId165" display="https://gertiq.senado.gov.br/redmine/projects/projeto007/issues?utf8=%E2%9C%93&amp;set_filter=1&amp;sort=id%3Adesc&amp;f%5B%5D=created_on&amp;op%5Bcreated_on%5D=%3E%3C&amp;v%5Bcreated_on%5D%5B%5D=2023-03-01&amp;v%5Bcreated_on%5D%5B%5D=2023-03-31&amp;f%5B%5D=&amp;c%5B%5D=tracker&amp;c%5B%5D=status&amp;c%5B%5D=subject&amp;c%5B%5D=assigned_to&amp;c%5B%5D=spent_hours&amp;c%5B%5D=done_ratio&amp;c%5B%5D=cf_78&amp;group_by=status&amp;t%5B%5D=" xr:uid="{3387CBDC-C2F4-4FDF-9BF3-748ECD74E73E}"/>
    <hyperlink ref="E34" r:id="rId166" display="https://gertiq.senado.gov.br/redmine/projects/projeto007/issues?utf8=%E2%9C%93&amp;set_filter=1&amp;sort=id%3Adesc&amp;f%5B%5D=created_on&amp;op%5Bcreated_on%5D=%3E%3C&amp;v%5Bcreated_on%5D%5B%5D=2023-02-01&amp;v%5Bcreated_on%5D%5B%5D=2023-02-28&amp;f%5B%5D=&amp;c%5B%5D=tracker&amp;c%5B%5D=status&amp;c%5B%5D=subject&amp;c%5B%5D=assigned_to&amp;c%5B%5D=spent_hours&amp;c%5B%5D=done_ratio&amp;c%5B%5D=cf_78&amp;group_by=status&amp;t%5B%5D=" xr:uid="{3061DEF5-CD5A-45FA-8148-9A16E72D5160}"/>
    <hyperlink ref="E33" r:id="rId167" display="https://gertiq.senado.gov.br/redmine/projects/projeto007/issues?utf8=%E2%9C%93&amp;set_filter=1&amp;sort=id%3Adesc&amp;f%5B%5D=created_on&amp;op%5Bcreated_on%5D=%3E%3C&amp;v%5Bcreated_on%5D%5B%5D=2023-01-01&amp;v%5Bcreated_on%5D%5B%5D=2023-01-31&amp;f%5B%5D=&amp;c%5B%5D=tracker&amp;c%5B%5D=status&amp;c%5B%5D=subject&amp;c%5B%5D=assigned_to&amp;c%5B%5D=spent_hours&amp;c%5B%5D=done_ratio&amp;c%5B%5D=cf_78&amp;group_by=status&amp;t%5B%5D=" xr:uid="{3BF4FE4D-521E-4A1B-A2EA-E176639B9D46}"/>
    <hyperlink ref="F33" r:id="rId168" display="https://gertiq.senado.gov.br/redmine/projects/projeto007/issues?utf8=%E2%9C%93&amp;set_filter=1&amp;sort=id%3Adesc&amp;f%5B%5D=created_on&amp;op%5Bcreated_on%5D=%3E%3C&amp;v%5Bcreated_on%5D%5B%5D=2023-01-01&amp;v%5Bcreated_on%5D%5B%5D=2023-01-31&amp;f%5B%5D=status_id&amp;op%5Bstatus_id%5D=c&amp;f%5B%5D=cf_74&amp;op%5Bcf_74%5D=%3E%3C&amp;v%5Bcf_74%5D%5B%5D=2023-01-01&amp;v%5Bcf_74%5D%5B%5D=2023-01-31&amp;f%5B%5D=&amp;c%5B%5D=tracker&amp;c%5B%5D=status&amp;c%5B%5D=subject&amp;c%5B%5D=assigned_to&amp;c%5B%5D=spent_hours&amp;c%5B%5D=done_ratio&amp;c%5B%5D=cf_78&amp;group_by=status&amp;t%5B%5D=" xr:uid="{43F19B92-B094-40A6-B6A9-F9967455C32F}"/>
    <hyperlink ref="F34" r:id="rId169" display="https://gertiq.senado.gov.br/redmine/projects/projeto007/issues?utf8=%E2%9C%93&amp;set_filter=1&amp;sort=id%3Adesc&amp;f%5B%5D=created_on&amp;op%5Bcreated_on%5D=%3E%3C&amp;v%5Bcreated_on%5D%5B%5D=2023-02-01&amp;v%5Bcreated_on%5D%5B%5D=2023-02-28&amp;f%5B%5D=status_id&amp;op%5Bstatus_id%5D=c&amp;f%5B%5D=cf_74&amp;op%5Bcf_74%5D=%3E%3C&amp;v%5Bcf_74%5D%5B%5D=2023-02-01&amp;v%5Bcf_74%5D%5B%5D=2023-02-28&amp;f%5B%5D=&amp;c%5B%5D=tracker&amp;c%5B%5D=status&amp;c%5B%5D=subject&amp;c%5B%5D=assigned_to&amp;c%5B%5D=spent_hours&amp;c%5B%5D=done_ratio&amp;c%5B%5D=cf_78&amp;group_by=status&amp;t%5B%5D=" xr:uid="{4CED1697-0614-43EE-BDC1-EDE002885C75}"/>
    <hyperlink ref="F35" r:id="rId170" display="https://gertiq.senado.gov.br/redmine/projects/projeto007/issues?utf8=%E2%9C%93&amp;set_filter=1&amp;sort=id%3Adesc&amp;f%5B%5D=created_on&amp;op%5Bcreated_on%5D=%3E%3C&amp;v%5Bcreated_on%5D%5B%5D=2023-03-01&amp;v%5Bcreated_on%5D%5B%5D=2023-03-31&amp;f%5B%5D=status_id&amp;op%5Bstatus_id%5D=c&amp;f%5B%5D=cf_74&amp;op%5Bcf_74%5D=%3E%3C&amp;v%5Bcf_74%5D%5B%5D=2023-03-01&amp;v%5Bcf_74%5D%5B%5D=2023-03-31&amp;f%5B%5D=&amp;c%5B%5D=tracker&amp;c%5B%5D=status&amp;c%5B%5D=subject&amp;c%5B%5D=assigned_to&amp;c%5B%5D=spent_hours&amp;c%5B%5D=done_ratio&amp;c%5B%5D=cf_78&amp;group_by=status&amp;t%5B%5D=" xr:uid="{13F1CD69-3FDE-47F1-B0D4-C57CA810C77D}"/>
    <hyperlink ref="F36" r:id="rId171" display="390" xr:uid="{F333532F-A101-4174-872C-49986869DFED}"/>
    <hyperlink ref="F37" r:id="rId172" display="https://gertiq.senado.gov.br/redmine/projects/projeto007/issues?utf8=%E2%9C%93&amp;set_filter=1&amp;sort=id%3Adesc&amp;f%5B%5D=created_on&amp;op%5Bcreated_on%5D=%3E%3C&amp;v%5Bcreated_on%5D%5B%5D=2023-05-01&amp;v%5Bcreated_on%5D%5B%5D=2023-05-31&amp;f%5B%5D=status_id&amp;op%5Bstatus_id%5D=c&amp;f%5B%5D=cf_74&amp;op%5Bcf_74%5D=%3E%3C&amp;v%5Bcf_74%5D%5B%5D=2023-05-01&amp;v%5Bcf_74%5D%5B%5D=2023-05-31&amp;f%5B%5D=&amp;c%5B%5D=tracker&amp;c%5B%5D=status&amp;c%5B%5D=subject&amp;c%5B%5D=assigned_to&amp;c%5B%5D=spent_hours&amp;c%5B%5D=done_ratio&amp;c%5B%5D=cf_78&amp;group_by=status&amp;t%5B%5D=" xr:uid="{C28F7DC7-AC83-4BC9-9927-CC6677D3E6C2}"/>
    <hyperlink ref="F38" r:id="rId173" display="https://gertiq.senado.gov.br/redmine/projects/projeto007/issues?utf8=%E2%9C%93&amp;set_filter=1&amp;sort=id%3Adesc&amp;f%5B%5D=created_on&amp;op%5Bcreated_on%5D=%3E%3C&amp;v%5Bcreated_on%5D%5B%5D=2023-06-01&amp;v%5Bcreated_on%5D%5B%5D=2023-06-30&amp;f%5B%5D=status_id&amp;op%5Bstatus_id%5D=c&amp;f%5B%5D=cf_74&amp;op%5Bcf_74%5D=%3E%3C&amp;v%5Bcf_74%5D%5B%5D=2023-06-01&amp;v%5Bcf_74%5D%5B%5D=2023-06-30&amp;f%5B%5D=&amp;c%5B%5D=tracker&amp;c%5B%5D=status&amp;c%5B%5D=subject&amp;c%5B%5D=assigned_to&amp;c%5B%5D=spent_hours&amp;c%5B%5D=done_ratio&amp;c%5B%5D=cf_78&amp;group_by=status&amp;t%5B%5D=" xr:uid="{B5D170B1-EF4F-48C0-AFF8-3DFCA538E6BE}"/>
    <hyperlink ref="F39" r:id="rId174" display="https://gertiq.senado.gov.br/redmine/projects/projeto007/issues?utf8=%E2%9C%93&amp;set_filter=1&amp;sort=id%3Adesc&amp;f%5B%5D=created_on&amp;op%5Bcreated_on%5D=%3E%3C&amp;v%5Bcreated_on%5D%5B%5D=2023-07-01&amp;v%5Bcreated_on%5D%5B%5D=2023-07-31&amp;f%5B%5D=status_id&amp;op%5Bstatus_id%5D=c&amp;f%5B%5D=cf_74&amp;op%5Bcf_74%5D=%3E%3C&amp;v%5Bcf_74%5D%5B%5D=2023-07-01&amp;v%5Bcf_74%5D%5B%5D=2023-07-31&amp;f%5B%5D=&amp;c%5B%5D=tracker&amp;c%5B%5D=status&amp;c%5B%5D=subject&amp;c%5B%5D=assigned_to&amp;c%5B%5D=spent_hours&amp;c%5B%5D=done_ratio&amp;c%5B%5D=cf_78&amp;group_by=status&amp;t%5B%5D=" xr:uid="{E3A9DA7B-7492-47D9-84E9-41FE3E83FE8F}"/>
    <hyperlink ref="F40" r:id="rId175" display="https://gertiq.senado.gov.br/redmine/projects/projeto007/issues?utf8=%E2%9C%93&amp;set_filter=1&amp;sort=id%3Adesc&amp;f%5B%5D=created_on&amp;op%5Bcreated_on%5D=%3E%3C&amp;v%5Bcreated_on%5D%5B%5D=2023-08-01&amp;v%5Bcreated_on%5D%5B%5D=2023-08-31&amp;f%5B%5D=status_id&amp;op%5Bstatus_id%5D=c&amp;f%5B%5D=cf_74&amp;op%5Bcf_74%5D=%3E%3C&amp;v%5Bcf_74%5D%5B%5D=2023-08-01&amp;v%5Bcf_74%5D%5B%5D=2023-08-31&amp;f%5B%5D=&amp;c%5B%5D=tracker&amp;c%5B%5D=status&amp;c%5B%5D=subject&amp;c%5B%5D=assigned_to&amp;c%5B%5D=spent_hours&amp;c%5B%5D=done_ratio&amp;c%5B%5D=cf_78&amp;group_by=status&amp;t%5B%5D=" xr:uid="{9EB32B9B-6E66-4300-956E-93EAFD6CAD00}"/>
    <hyperlink ref="F41" r:id="rId176" display="https://gertiq.senado.gov.br/redmine/projects/projeto007/issues?utf8=%E2%9C%93&amp;set_filter=1&amp;sort=id%3Adesc&amp;f%5B%5D=created_on&amp;op%5Bcreated_on%5D=%3E%3C&amp;v%5Bcreated_on%5D%5B%5D=2023-09-01&amp;v%5Bcreated_on%5D%5B%5D=2023-09-30&amp;f%5B%5D=status_id&amp;op%5Bstatus_id%5D=c&amp;f%5B%5D=cf_74&amp;op%5Bcf_74%5D=%3E%3C&amp;v%5Bcf_74%5D%5B%5D=2023-09-01&amp;v%5Bcf_74%5D%5B%5D=2023-09-30&amp;f%5B%5D=&amp;c%5B%5D=tracker&amp;c%5B%5D=status&amp;c%5B%5D=subject&amp;c%5B%5D=assigned_to&amp;c%5B%5D=spent_hours&amp;c%5B%5D=done_ratio&amp;c%5B%5D=cf_78&amp;group_by=status&amp;t%5B%5D=" xr:uid="{953EA3A0-D73D-46E8-BFAA-926DADBBD311}"/>
    <hyperlink ref="F42" r:id="rId177" display="https://gertiq.senado.gov.br/redmine/projects/projeto007/issues?utf8=%E2%9C%93&amp;set_filter=1&amp;sort=id%3Adesc&amp;f%5B%5D=created_on&amp;op%5Bcreated_on%5D=%3E%3C&amp;v%5Bcreated_on%5D%5B%5D=2023-10-01&amp;v%5Bcreated_on%5D%5B%5D=2023-10-31&amp;f%5B%5D=status_id&amp;op%5Bstatus_id%5D=c&amp;f%5B%5D=cf_74&amp;op%5Bcf_74%5D=%3E%3C&amp;v%5Bcf_74%5D%5B%5D=2023-10-01&amp;v%5Bcf_74%5D%5B%5D=2023-10-31&amp;f%5B%5D=&amp;c%5B%5D=tracker&amp;c%5B%5D=status&amp;c%5B%5D=subject&amp;c%5B%5D=assigned_to&amp;c%5B%5D=spent_hours&amp;c%5B%5D=done_ratio&amp;c%5B%5D=cf_78&amp;group_by=status&amp;t%5B%5D=" xr:uid="{0C7666D5-27C4-40FF-A151-B5452A133233}"/>
    <hyperlink ref="F43" r:id="rId178" display="https://gertiq.senado.gov.br/redmine/projects/projeto007/issues?utf8=%E2%9C%93&amp;set_filter=1&amp;sort=id%3Adesc&amp;f%5B%5D=created_on&amp;op%5Bcreated_on%5D=%3E%3C&amp;v%5Bcreated_on%5D%5B%5D=2023-11-01&amp;v%5Bcreated_on%5D%5B%5D=2023-11-30&amp;f%5B%5D=status_id&amp;op%5Bstatus_id%5D=c&amp;f%5B%5D=cf_74&amp;op%5Bcf_74%5D=%3E%3C&amp;v%5Bcf_74%5D%5B%5D=2023-11-01&amp;v%5Bcf_74%5D%5B%5D=2023-11-30&amp;f%5B%5D=&amp;c%5B%5D=tracker&amp;c%5B%5D=status&amp;c%5B%5D=subject&amp;c%5B%5D=assigned_to&amp;c%5B%5D=spent_hours&amp;c%5B%5D=done_ratio&amp;c%5B%5D=cf_78&amp;group_by=status&amp;t%5B%5D=" xr:uid="{13CD70F5-D5C5-4B50-9732-E6A61A5B66EA}"/>
    <hyperlink ref="G33" r:id="rId179" display="https://gertiq.senado.gov.br/redmine/projects/projeto007/issues?utf8=%E2%9C%93&amp;set_filter=1&amp;sort=id%3Adesc&amp;f%5B%5D=status_id&amp;op%5Bstatus_id%5D=c&amp;f%5B%5D=cf_74&amp;op%5Bcf_74%5D=%3E%3C&amp;v%5Bcf_74%5D%5B%5D=2023-01-01&amp;v%5Bcf_74%5D%5B%5D=2023-01-31&amp;f%5B%5D=created_on&amp;op%5Bcreated_on%5D=%3E%3D&amp;v%5Bcreated_on%5D%5B%5D=2023-02-01&amp;f%5B%5D=&amp;c%5B%5D=tracker&amp;c%5B%5D=status&amp;c%5B%5D=subject&amp;c%5B%5D=assigned_to&amp;c%5B%5D=created_on&amp;c%5B%5D=cf_74&amp;group_by=status&amp;t%5B%5D=" xr:uid="{DC82E6C9-5192-4AA4-A249-DF79826CC0BF}"/>
    <hyperlink ref="G34" r:id="rId180" display="https://gertiq.senado.gov.br/redmine/projects/projeto007/issues?utf8=%E2%9C%93&amp;set_filter=1&amp;sort=id%3Adesc&amp;f%5B%5D=status_id&amp;op%5Bstatus_id%5D=c&amp;f%5B%5D=cf_74&amp;op%5Bcf_74%5D=%3E%3C&amp;v%5Bcf_74%5D%5B%5D=2023-02-01&amp;v%5Bcf_74%5D%5B%5D=2023-02-28&amp;f%5B%5D=created_on&amp;op%5Bcreated_on%5D=%3E%3D&amp;v%5Bcreated_on%5D%5B%5D=2023-03-01&amp;f%5B%5D=&amp;c%5B%5D=tracker&amp;c%5B%5D=status&amp;c%5B%5D=subject&amp;c%5B%5D=assigned_to&amp;c%5B%5D=created_on&amp;c%5B%5D=cf_74&amp;group_by=status&amp;t%5B%5D=" xr:uid="{A4933955-283A-4E6F-947F-DBA48395D21F}"/>
    <hyperlink ref="G35" r:id="rId181" display="https://gertiq.senado.gov.br/redmine/projects/projeto007/issues?utf8=%E2%9C%93&amp;set_filter=1&amp;sort=id%3Adesc&amp;f%5B%5D=status_id&amp;op%5Bstatus_id%5D=c&amp;f%5B%5D=cf_74&amp;op%5Bcf_74%5D=%3E%3C&amp;v%5Bcf_74%5D%5B%5D=2023-03-01&amp;v%5Bcf_74%5D%5B%5D=2023-03-31&amp;f%5B%5D=created_on&amp;op%5Bcreated_on%5D=%3E%3D&amp;v%5Bcreated_on%5D%5B%5D=2023-04-01&amp;f%5B%5D=&amp;c%5B%5D=tracker&amp;c%5B%5D=status&amp;c%5B%5D=subject&amp;c%5B%5D=assigned_to&amp;c%5B%5D=created_on&amp;c%5B%5D=cf_74&amp;group_by=status&amp;t%5B%5D=" xr:uid="{147ED4B6-0D55-48DD-9798-F8535EA3FFEF}"/>
    <hyperlink ref="G36" r:id="rId182" display="https://gertiq.senado.gov.br/redmine/projects/projeto007/issues?utf8=%E2%9C%93&amp;set_filter=1&amp;sort=id%3Adesc&amp;f%5B%5D=status_id&amp;op%5Bstatus_id%5D=c&amp;f%5B%5D=cf_74&amp;op%5Bcf_74%5D=%3E%3C&amp;v%5Bcf_74%5D%5B%5D=2023-04-01&amp;v%5Bcf_74%5D%5B%5D=2023-04-30&amp;f%5B%5D=created_on&amp;op%5Bcreated_on%5D=%3E%3D&amp;v%5Bcreated_on%5D%5B%5D=2023-05-01&amp;f%5B%5D=&amp;c%5B%5D=tracker&amp;c%5B%5D=status&amp;c%5B%5D=subject&amp;c%5B%5D=assigned_to&amp;c%5B%5D=created_on&amp;c%5B%5D=cf_74&amp;group_by=status&amp;t%5B%5D=" xr:uid="{1E99DC4F-626E-4AEF-903A-6AB7CD404605}"/>
    <hyperlink ref="G37" r:id="rId183" display="https://gertiq.senado.gov.br/redmine/projects/projeto007/issues?utf8=%E2%9C%93&amp;set_filter=1&amp;sort=id%3Adesc&amp;f%5B%5D=status_id&amp;op%5Bstatus_id%5D=c&amp;f%5B%5D=cf_74&amp;op%5Bcf_74%5D=%3E%3C&amp;v%5Bcf_74%5D%5B%5D=2023-05-01&amp;v%5Bcf_74%5D%5B%5D=2023-05-31&amp;f%5B%5D=created_on&amp;op%5Bcreated_on%5D=%3E%3D&amp;v%5Bcreated_on%5D%5B%5D=2023-06-01&amp;f%5B%5D=&amp;c%5B%5D=tracker&amp;c%5B%5D=status&amp;c%5B%5D=subject&amp;c%5B%5D=assigned_to&amp;c%5B%5D=created_on&amp;c%5B%5D=cf_74&amp;group_by=status&amp;t%5B%5D=" xr:uid="{879C6471-3011-41F1-BFD8-4C2E9A215DCF}"/>
    <hyperlink ref="G38" r:id="rId184" display="https://gertiq.senado.gov.br/redmine/projects/projeto007/issues?utf8=%E2%9C%93&amp;set_filter=1&amp;sort=id%3Adesc&amp;f%5B%5D=status_id&amp;op%5Bstatus_id%5D=c&amp;f%5B%5D=cf_74&amp;op%5Bcf_74%5D=%3E%3C&amp;v%5Bcf_74%5D%5B%5D=2023-06-01&amp;v%5Bcf_74%5D%5B%5D=2023-06-30&amp;f%5B%5D=created_on&amp;op%5Bcreated_on%5D=%3E%3D&amp;v%5Bcreated_on%5D%5B%5D=2023-07-01&amp;f%5B%5D=&amp;c%5B%5D=tracker&amp;c%5B%5D=status&amp;c%5B%5D=subject&amp;c%5B%5D=assigned_to&amp;c%5B%5D=created_on&amp;c%5B%5D=cf_74&amp;group_by=status&amp;t%5B%5D=" xr:uid="{4A20772D-E003-4084-8AAE-9D32158D30ED}"/>
    <hyperlink ref="G39" r:id="rId185" display="https://gertiq.senado.gov.br/redmine/projects/projeto007/issues?utf8=%E2%9C%93&amp;set_filter=1&amp;sort=id%3Adesc&amp;f%5B%5D=status_id&amp;op%5Bstatus_id%5D=c&amp;f%5B%5D=cf_74&amp;op%5Bcf_74%5D=%3E%3C&amp;v%5Bcf_74%5D%5B%5D=2023-07-01&amp;v%5Bcf_74%5D%5B%5D=2023-07-31&amp;f%5B%5D=created_on&amp;op%5Bcreated_on%5D=%3E%3D&amp;v%5Bcreated_on%5D%5B%5D=2023-08-01&amp;f%5B%5D=&amp;c%5B%5D=tracker&amp;c%5B%5D=status&amp;c%5B%5D=subject&amp;c%5B%5D=assigned_to&amp;c%5B%5D=created_on&amp;c%5B%5D=cf_74&amp;group_by=status&amp;t%5B%5D=" xr:uid="{ED32882E-2C04-4452-A482-59438C3E1D0D}"/>
    <hyperlink ref="G40" r:id="rId186" display="https://gertiq.senado.gov.br/redmine/projects/projeto007/issues?utf8=%E2%9C%93&amp;set_filter=1&amp;sort=id%3Adesc&amp;f%5B%5D=status_id&amp;op%5Bstatus_id%5D=c&amp;f%5B%5D=cf_74&amp;op%5Bcf_74%5D=%3E%3C&amp;v%5Bcf_74%5D%5B%5D=2023-08-01&amp;v%5Bcf_74%5D%5B%5D=2023-08-31&amp;f%5B%5D=created_on&amp;op%5Bcreated_on%5D=%3E%3D&amp;v%5Bcreated_on%5D%5B%5D=2023-09-01&amp;f%5B%5D=&amp;c%5B%5D=tracker&amp;c%5B%5D=status&amp;c%5B%5D=subject&amp;c%5B%5D=assigned_to&amp;c%5B%5D=created_on&amp;c%5B%5D=cf_74&amp;group_by=status&amp;t%5B%5D=" xr:uid="{4D1481B7-8BA3-4E8A-AB78-D25B4BB6FA37}"/>
    <hyperlink ref="G41" r:id="rId187" display="https://gertiq.senado.gov.br/redmine/projects/projeto007/issues?utf8=%E2%9C%93&amp;set_filter=1&amp;sort=id%3Adesc&amp;f%5B%5D=status_id&amp;op%5Bstatus_id%5D=c&amp;f%5B%5D=cf_74&amp;op%5Bcf_74%5D=%3E%3C&amp;v%5Bcf_74%5D%5B%5D=2023-09-01&amp;v%5Bcf_74%5D%5B%5D=2023-09-30&amp;f%5B%5D=created_on&amp;op%5Bcreated_on%5D=%3E%3D&amp;v%5Bcreated_on%5D%5B%5D=2023-10-01&amp;f%5B%5D=&amp;c%5B%5D=tracker&amp;c%5B%5D=status&amp;c%5B%5D=subject&amp;c%5B%5D=assigned_to&amp;c%5B%5D=created_on&amp;c%5B%5D=cf_74&amp;group_by=status&amp;t%5B%5D=" xr:uid="{DC43C1C4-6139-41AB-AAB7-3243DB6EBC6C}"/>
    <hyperlink ref="G42" r:id="rId188" display="https://gertiq.senado.gov.br/redmine/projects/projeto007/issues?utf8=%E2%9C%93&amp;set_filter=1&amp;sort=id%3Adesc&amp;f%5B%5D=status_id&amp;op%5Bstatus_id%5D=c&amp;f%5B%5D=cf_74&amp;op%5Bcf_74%5D=%3E%3C&amp;v%5Bcf_74%5D%5B%5D=2023-10-01&amp;v%5Bcf_74%5D%5B%5D=2023-10-31&amp;f%5B%5D=created_on&amp;op%5Bcreated_on%5D=%3E%3D&amp;v%5Bcreated_on%5D%5B%5D=2023-11-01&amp;f%5B%5D=&amp;c%5B%5D=tracker&amp;c%5B%5D=status&amp;c%5B%5D=subject&amp;c%5B%5D=assigned_to&amp;c%5B%5D=created_on&amp;c%5B%5D=cf_74&amp;group_by=status&amp;t%5B%5D=" xr:uid="{1B7486C6-F617-4B94-89AC-982EC95C68A4}"/>
    <hyperlink ref="G43" r:id="rId189" display="https://gertiq.senado.gov.br/redmine/projects/projeto007/issues?utf8=%E2%9C%93&amp;set_filter=1&amp;sort=id%3Adesc&amp;f%5B%5D=status_id&amp;op%5Bstatus_id%5D=c&amp;f%5B%5D=cf_74&amp;op%5Bcf_74%5D=%3E%3C&amp;v%5Bcf_74%5D%5B%5D=2023-11-01&amp;v%5Bcf_74%5D%5B%5D=2023-11-30&amp;f%5B%5D=created_on&amp;op%5Bcreated_on%5D=%3E%3D&amp;v%5Bcreated_on%5D%5B%5D=2023-12-01&amp;f%5B%5D=&amp;c%5B%5D=tracker&amp;c%5B%5D=status&amp;c%5B%5D=subject&amp;c%5B%5D=assigned_to&amp;c%5B%5D=created_on&amp;c%5B%5D=cf_74&amp;group_by=status&amp;t%5B%5D=" xr:uid="{5B1F4C1F-973E-4C32-9FFB-7864E6A95DA9}"/>
    <hyperlink ref="H33" r:id="rId190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01-01&amp;v%5Bcreated_on%5D%5B%5D=2023-01-31&amp;f%5B%5D=&amp;c%5B%5D=tracker&amp;c%5B%5D=status&amp;c%5B%5D=subject&amp;c%5B%5D=assigned_to&amp;c%5B%5D=created_on&amp;group_by=status&amp;t%5B%5D=" xr:uid="{5246C1F5-AC5E-4EDE-AA3F-F0EDA0C0BB35}"/>
    <hyperlink ref="H34" r:id="rId191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02-01&amp;v%5Bcreated_on%5D%5B%5D=2023-02-28&amp;f%5B%5D=&amp;c%5B%5D=tracker&amp;c%5B%5D=status&amp;c%5B%5D=subject&amp;c%5B%5D=assigned_to&amp;c%5B%5D=created_on&amp;group_by=status&amp;t%5B%5D=" xr:uid="{730009A0-E1DF-44F4-A632-EB069866D7EE}"/>
    <hyperlink ref="H35" r:id="rId192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03-01&amp;v%5Bcreated_on%5D%5B%5D=2023-03-31&amp;f%5B%5D=&amp;c%5B%5D=tracker&amp;c%5B%5D=status&amp;c%5B%5D=subject&amp;c%5B%5D=assigned_to&amp;c%5B%5D=created_on&amp;group_by=status&amp;t%5B%5D=" xr:uid="{7751659A-5809-48A2-A234-148593AABC94}"/>
    <hyperlink ref="H36" r:id="rId193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04-01&amp;v%5Bcreated_on%5D%5B%5D=2023-04-30&amp;f%5B%5D=&amp;c%5B%5D=tracker&amp;c%5B%5D=status&amp;c%5B%5D=subject&amp;c%5B%5D=assigned_to&amp;c%5B%5D=created_on&amp;group_by=status&amp;t%5B%5D=" xr:uid="{E20DE6AE-2571-418B-8186-C7B2A7AA3812}"/>
    <hyperlink ref="H37" r:id="rId194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05-01&amp;v%5Bcreated_on%5D%5B%5D=2023-05-31&amp;f%5B%5D=&amp;c%5B%5D=tracker&amp;c%5B%5D=status&amp;c%5B%5D=subject&amp;c%5B%5D=assigned_to&amp;c%5B%5D=created_on&amp;group_by=status&amp;t%5B%5D=" xr:uid="{25907D51-4794-4471-A948-C25F0B0876DE}"/>
    <hyperlink ref="H38" r:id="rId195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06-01&amp;v%5Bcreated_on%5D%5B%5D=2023-06-30&amp;f%5B%5D=&amp;c%5B%5D=tracker&amp;c%5B%5D=status&amp;c%5B%5D=subject&amp;c%5B%5D=assigned_to&amp;c%5B%5D=created_on&amp;group_by=status&amp;t%5B%5D=" xr:uid="{2207BF9B-9877-4346-99B2-5CC979FF132F}"/>
    <hyperlink ref="H39" r:id="rId196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07-01&amp;v%5Bcreated_on%5D%5B%5D=2023-07-31&amp;f%5B%5D=&amp;c%5B%5D=tracker&amp;c%5B%5D=status&amp;c%5B%5D=subject&amp;c%5B%5D=assigned_to&amp;c%5B%5D=created_on&amp;group_by=status&amp;t%5B%5D=" xr:uid="{9F4BCB5C-41EF-488C-A0A3-D7C700927D1B}"/>
    <hyperlink ref="H40" r:id="rId197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08-01&amp;v%5Bcreated_on%5D%5B%5D=2023-08-31&amp;f%5B%5D=&amp;c%5B%5D=tracker&amp;c%5B%5D=status&amp;c%5B%5D=subject&amp;c%5B%5D=assigned_to&amp;c%5B%5D=created_on&amp;group_by=status&amp;t%5B%5D=" xr:uid="{7BFFA7AC-A553-49B3-B46F-2270D94DF06B}"/>
    <hyperlink ref="H41" r:id="rId198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09-01&amp;v%5Bcreated_on%5D%5B%5D=2023-09-30&amp;f%5B%5D=&amp;c%5B%5D=tracker&amp;c%5B%5D=status&amp;c%5B%5D=subject&amp;c%5B%5D=assigned_to&amp;c%5B%5D=created_on&amp;group_by=status&amp;t%5B%5D=" xr:uid="{A43BFC2F-FB1F-4A8F-B96B-CB85311F2D84}"/>
    <hyperlink ref="H42" r:id="rId199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10-01&amp;v%5Bcreated_on%5D%5B%5D=2023-10-31&amp;f%5B%5D=&amp;c%5B%5D=tracker&amp;c%5B%5D=status&amp;c%5B%5D=subject&amp;c%5B%5D=assigned_to&amp;c%5B%5D=created_on&amp;group_by=status&amp;t%5B%5D=" xr:uid="{5AEDC054-EFE7-4298-8BDB-250F861C3BCB}"/>
    <hyperlink ref="H43" r:id="rId200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11-01&amp;v%5Bcreated_on%5D%5B%5D=2023-11-30&amp;f%5B%5D=&amp;c%5B%5D=tracker&amp;c%5B%5D=status&amp;c%5B%5D=subject&amp;c%5B%5D=assigned_to&amp;c%5B%5D=created_on&amp;group_by=status&amp;t%5B%5D=" xr:uid="{0C159927-E77C-483E-9948-C1B3E801EC36}"/>
    <hyperlink ref="I33" r:id="rId201" display="https://gertiq.senado.gov.br/redmine/projects/projeto007/issues?utf8=%E2%9C%93&amp;set_filter=1&amp;sort=created_on%2Cid%3Adesc&amp;f%5B%5D=status_id&amp;op%5Bstatus_id%5D=c&amp;f%5B%5D=cf_74&amp;op%5Bcf_74%5D=%3E%3C&amp;v%5Bcf_74%5D%5B%5D=2023-01-01&amp;v%5Bcf_74%5D%5B%5D=2023-01-31&amp;f%5B%5D=created_on&amp;op%5Bcreated_on%5D=%3E%3C&amp;v%5Bcreated_on%5D%5B%5D=2021-01-01&amp;v%5Bcreated_on%5D%5B%5D=2022-12-31&amp;f%5B%5D=&amp;c%5B%5D=tracker&amp;c%5B%5D=status&amp;c%5B%5D=subject&amp;c%5B%5D=assigned_to&amp;c%5B%5D=created_on&amp;c%5B%5D=cf_74&amp;group_by=&amp;t%5B%5D=" xr:uid="{30D3F474-E5CA-426E-9C31-843BEAFEA68D}"/>
    <hyperlink ref="I34" r:id="rId202" display="https://gertiq.senado.gov.br/redmine/projects/projeto007/issues?utf8=%E2%9C%93&amp;set_filter=1&amp;sort=created_on%2Cid%3Adesc&amp;f%5B%5D=status_id&amp;op%5Bstatus_id%5D=c&amp;f%5B%5D=cf_74&amp;op%5Bcf_74%5D=%3E%3C&amp;v%5Bcf_74%5D%5B%5D=2023-02-01&amp;v%5Bcf_74%5D%5B%5D=2023-02-28&amp;f%5B%5D=created_on&amp;op%5Bcreated_on%5D=%3E%3C&amp;v%5Bcreated_on%5D%5B%5D=2021-01-01&amp;v%5Bcreated_on%5D%5B%5D=2023-01-31&amp;f%5B%5D=&amp;c%5B%5D=tracker&amp;c%5B%5D=status&amp;c%5B%5D=subject&amp;c%5B%5D=assigned_to&amp;c%5B%5D=created_on&amp;c%5B%5D=cf_74&amp;group_by=&amp;t%5B%5D=" xr:uid="{08610E4B-E40B-4893-829B-72DBD9FDC914}"/>
    <hyperlink ref="I35" r:id="rId203" display="https://gertiq.senado.gov.br/redmine/projects/projeto007/issues?utf8=%E2%9C%93&amp;set_filter=1&amp;sort=created_on%2Cid%3Adesc&amp;f%5B%5D=status_id&amp;op%5Bstatus_id%5D=c&amp;f%5B%5D=cf_74&amp;op%5Bcf_74%5D=%3E%3C&amp;v%5Bcf_74%5D%5B%5D=2023-03-01&amp;v%5Bcf_74%5D%5B%5D=2023-03-31&amp;f%5B%5D=created_on&amp;op%5Bcreated_on%5D=%3E%3C&amp;v%5Bcreated_on%5D%5B%5D=2021-01-01&amp;v%5Bcreated_on%5D%5B%5D=2023-02-28&amp;f%5B%5D=&amp;c%5B%5D=tracker&amp;c%5B%5D=status&amp;c%5B%5D=subject&amp;c%5B%5D=assigned_to&amp;c%5B%5D=created_on&amp;c%5B%5D=cf_74&amp;group_by=&amp;t%5B%5D=" xr:uid="{8D1AB1B6-AC7D-4832-B536-A8BC537EBD33}"/>
    <hyperlink ref="I36" r:id="rId204" display="https://gertiq.senado.gov.br/redmine/projects/projeto007/issues?utf8=%E2%9C%93&amp;set_filter=1&amp;sort=created_on%2Cid%3Adesc&amp;f%5B%5D=status_id&amp;op%5Bstatus_id%5D=c&amp;f%5B%5D=cf_74&amp;op%5Bcf_74%5D=%3E%3C&amp;v%5Bcf_74%5D%5B%5D=2023-04-01&amp;v%5Bcf_74%5D%5B%5D=2023-04-30&amp;f%5B%5D=created_on&amp;op%5Bcreated_on%5D=%3E%3C&amp;v%5Bcreated_on%5D%5B%5D=2021-01-01&amp;v%5Bcreated_on%5D%5B%5D=2023-03-31&amp;f%5B%5D=&amp;c%5B%5D=tracker&amp;c%5B%5D=status&amp;c%5B%5D=subject&amp;c%5B%5D=assigned_to&amp;c%5B%5D=created_on&amp;c%5B%5D=cf_74&amp;group_by=&amp;t%5B%5D=" xr:uid="{AF1D549A-33D4-40CD-8E3A-FA1A1BD7FB31}"/>
    <hyperlink ref="I37" r:id="rId205" display="https://gertiq.senado.gov.br/redmine/projects/projeto007/issues?utf8=%E2%9C%93&amp;set_filter=1&amp;sort=created_on%2Cid%3Adesc&amp;f%5B%5D=status_id&amp;op%5Bstatus_id%5D=c&amp;f%5B%5D=cf_74&amp;op%5Bcf_74%5D=%3E%3C&amp;v%5Bcf_74%5D%5B%5D=2023-05-01&amp;v%5Bcf_74%5D%5B%5D=2023-05-31&amp;f%5B%5D=created_on&amp;op%5Bcreated_on%5D=%3E%3C&amp;v%5Bcreated_on%5D%5B%5D=2021-01-01&amp;v%5Bcreated_on%5D%5B%5D=2023-04-30&amp;f%5B%5D=&amp;c%5B%5D=tracker&amp;c%5B%5D=status&amp;c%5B%5D=subject&amp;c%5B%5D=assigned_to&amp;c%5B%5D=created_on&amp;c%5B%5D=cf_74&amp;group_by=&amp;t%5B%5D=" xr:uid="{0948431D-5662-433D-B8AB-1022A06E9160}"/>
    <hyperlink ref="I38" r:id="rId206" display="https://gertiq.senado.gov.br/redmine/projects/projeto007/issues?utf8=%E2%9C%93&amp;set_filter=1&amp;sort=created_on%2Cid%3Adesc&amp;f%5B%5D=status_id&amp;op%5Bstatus_id%5D=c&amp;f%5B%5D=cf_74&amp;op%5Bcf_74%5D=%3E%3C&amp;v%5Bcf_74%5D%5B%5D=2023-06-01&amp;v%5Bcf_74%5D%5B%5D=2023-06-30&amp;f%5B%5D=created_on&amp;op%5Bcreated_on%5D=%3E%3C&amp;v%5Bcreated_on%5D%5B%5D=2021-01-01&amp;v%5Bcreated_on%5D%5B%5D=2023-05-31&amp;f%5B%5D=&amp;c%5B%5D=tracker&amp;c%5B%5D=status&amp;c%5B%5D=subject&amp;c%5B%5D=assigned_to&amp;c%5B%5D=created_on&amp;c%5B%5D=cf_74&amp;group_by=&amp;t%5B%5D=" xr:uid="{CF60891C-A945-4370-A586-1F4F08E54B13}"/>
    <hyperlink ref="I39" r:id="rId207" display="https://gertiq.senado.gov.br/redmine/projects/projeto007/issues?utf8=%E2%9C%93&amp;set_filter=1&amp;sort=created_on%2Cid%3Adesc&amp;f%5B%5D=status_id&amp;op%5Bstatus_id%5D=c&amp;f%5B%5D=cf_74&amp;op%5Bcf_74%5D=%3E%3C&amp;v%5Bcf_74%5D%5B%5D=2023-07-01&amp;v%5Bcf_74%5D%5B%5D=2023-07-31&amp;f%5B%5D=created_on&amp;op%5Bcreated_on%5D=%3E%3C&amp;v%5Bcreated_on%5D%5B%5D=2021-01-01&amp;v%5Bcreated_on%5D%5B%5D=2023-06-30&amp;f%5B%5D=&amp;c%5B%5D=tracker&amp;c%5B%5D=status&amp;c%5B%5D=subject&amp;c%5B%5D=assigned_to&amp;c%5B%5D=created_on&amp;c%5B%5D=cf_74&amp;group_by=&amp;t%5B%5D=" xr:uid="{073EB7C5-4E8E-4472-BCF1-0562B67F086D}"/>
    <hyperlink ref="I40" r:id="rId208" display="https://gertiq.senado.gov.br/redmine/projects/projeto007/issues?utf8=%E2%9C%93&amp;set_filter=1&amp;sort=created_on%2Cid%3Adesc&amp;f%5B%5D=status_id&amp;op%5Bstatus_id%5D=c&amp;f%5B%5D=cf_74&amp;op%5Bcf_74%5D=%3E%3C&amp;v%5Bcf_74%5D%5B%5D=2023-08-01&amp;v%5Bcf_74%5D%5B%5D=2023-08-31&amp;f%5B%5D=created_on&amp;op%5Bcreated_on%5D=%3E%3C&amp;v%5Bcreated_on%5D%5B%5D=2021-01-01&amp;v%5Bcreated_on%5D%5B%5D=2023-07-31&amp;f%5B%5D=&amp;c%5B%5D=tracker&amp;c%5B%5D=status&amp;c%5B%5D=subject&amp;c%5B%5D=assigned_to&amp;c%5B%5D=created_on&amp;c%5B%5D=cf_74&amp;group_by=&amp;t%5B%5D=" xr:uid="{712136D4-2245-46DB-A0A3-CA641E7EDFE1}"/>
    <hyperlink ref="I41" r:id="rId209" display="https://gertiq.senado.gov.br/redmine/projects/projeto007/issues?utf8=%E2%9C%93&amp;set_filter=1&amp;sort=created_on%2Cid%3Adesc&amp;f%5B%5D=status_id&amp;op%5Bstatus_id%5D=c&amp;f%5B%5D=cf_74&amp;op%5Bcf_74%5D=%3E%3C&amp;v%5Bcf_74%5D%5B%5D=2023-09-01&amp;v%5Bcf_74%5D%5B%5D=2023-09-30&amp;f%5B%5D=created_on&amp;op%5Bcreated_on%5D=%3E%3C&amp;v%5Bcreated_on%5D%5B%5D=2021-01-01&amp;v%5Bcreated_on%5D%5B%5D=2023-08-31&amp;f%5B%5D=&amp;c%5B%5D=tracker&amp;c%5B%5D=status&amp;c%5B%5D=subject&amp;c%5B%5D=assigned_to&amp;c%5B%5D=created_on&amp;c%5B%5D=cf_74&amp;group_by=&amp;t%5B%5D=" xr:uid="{741B4CED-4D7E-4B65-B649-30D2C7C2D746}"/>
    <hyperlink ref="I42" r:id="rId210" display="https://gertiq.senado.gov.br/redmine/projects/projeto007/issues?utf8=%E2%9C%93&amp;set_filter=1&amp;sort=created_on%2Cid%3Adesc&amp;f%5B%5D=status_id&amp;op%5Bstatus_id%5D=c&amp;f%5B%5D=cf_74&amp;op%5Bcf_74%5D=%3E%3C&amp;v%5Bcf_74%5D%5B%5D=2023-10-01&amp;v%5Bcf_74%5D%5B%5D=2023-10-31&amp;f%5B%5D=created_on&amp;op%5Bcreated_on%5D=%3E%3C&amp;v%5Bcreated_on%5D%5B%5D=2021-01-01&amp;v%5Bcreated_on%5D%5B%5D=2023-09-30&amp;f%5B%5D=&amp;c%5B%5D=tracker&amp;c%5B%5D=status&amp;c%5B%5D=subject&amp;c%5B%5D=assigned_to&amp;c%5B%5D=created_on&amp;c%5B%5D=cf_74&amp;group_by=&amp;t%5B%5D=" xr:uid="{BE89E85B-2436-4076-B22F-E7C5A00B6641}"/>
    <hyperlink ref="I43" r:id="rId211" display="https://gertiq.senado.gov.br/redmine/projects/projeto007/issues?utf8=%E2%9C%93&amp;set_filter=1&amp;sort=created_on%2Cid%3Adesc&amp;f%5B%5D=status_id&amp;op%5Bstatus_id%5D=c&amp;f%5B%5D=cf_74&amp;op%5Bcf_74%5D=%3E%3C&amp;v%5Bcf_74%5D%5B%5D=2023-11-01&amp;v%5Bcf_74%5D%5B%5D=2023-11-30&amp;f%5B%5D=created_on&amp;op%5Bcreated_on%5D=%3E%3C&amp;v%5Bcreated_on%5D%5B%5D=2021-01-01&amp;v%5Bcreated_on%5D%5B%5D=2023-10-31&amp;f%5B%5D=&amp;c%5B%5D=tracker&amp;c%5B%5D=status&amp;c%5B%5D=subject&amp;c%5B%5D=assigned_to&amp;c%5B%5D=created_on&amp;c%5B%5D=cf_74&amp;group_by=&amp;t%5B%5D=" xr:uid="{8172F7B0-8A65-4E41-9D27-72FAC32AA001}"/>
    <hyperlink ref="C44" r:id="rId212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3-12-01&amp;v%5Bcf_74%5D%5B%5D=2023-12-31&amp;f%5B%5D=&amp;c%5B%5D=tracker&amp;c%5B%5D=status&amp;c%5B%5D=subject&amp;c%5B%5D=assigned_to&amp;c%5B%5D=spent_hours&amp;c%5B%5D=done_ratio&amp;c%5B%5D=cf_78&amp;group_by=status&amp;t%5B%5D=" xr:uid="{49221FF1-90B5-4358-8DE8-9218B5AA019A}"/>
    <hyperlink ref="C45" r:id="rId213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4-01-01&amp;v%5Bcf_74%5D%5B%5D=2024-01-31&amp;f%5B%5D=&amp;c%5B%5D=tracker&amp;c%5B%5D=status&amp;c%5B%5D=subject&amp;c%5B%5D=assigned_to&amp;c%5B%5D=spent_hours&amp;c%5B%5D=done_ratio&amp;c%5B%5D=cf_78&amp;group_by=status&amp;t%5B%5D=" xr:uid="{FE7D112A-0577-49A0-A99F-94CE2277871C}"/>
    <hyperlink ref="C46" r:id="rId214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4-02-01&amp;v%5Bcf_74%5D%5B%5D=2024-02-29&amp;f%5B%5D=&amp;c%5B%5D=tracker&amp;c%5B%5D=status&amp;c%5B%5D=subject&amp;c%5B%5D=assigned_to&amp;c%5B%5D=spent_hours&amp;c%5B%5D=done_ratio&amp;c%5B%5D=cf_78&amp;group_by=status&amp;t%5B%5D=" xr:uid="{127F6027-A77A-48A6-8A4C-0A9BEC590363}"/>
    <hyperlink ref="C47" r:id="rId215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4-03-01&amp;v%5Bcf_74%5D%5B%5D=2024-03-31&amp;f%5B%5D=&amp;c%5B%5D=tracker&amp;c%5B%5D=status&amp;c%5B%5D=subject&amp;c%5B%5D=assigned_to&amp;c%5B%5D=spent_hours&amp;c%5B%5D=done_ratio&amp;c%5B%5D=cf_78&amp;group_by=status&amp;t%5B%5D=" xr:uid="{8338A238-8B59-4938-9B37-E635BA42F96C}"/>
    <hyperlink ref="C48" r:id="rId216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4-04-01&amp;v%5Bcf_74%5D%5B%5D=2024-04-30&amp;f%5B%5D=&amp;c%5B%5D=tracker&amp;c%5B%5D=status&amp;c%5B%5D=subject&amp;c%5B%5D=assigned_to&amp;c%5B%5D=spent_hours&amp;c%5B%5D=done_ratio&amp;c%5B%5D=cf_78&amp;group_by=status&amp;t%5B%5D=" xr:uid="{1437EAA9-3AC1-4097-BDEF-9F82C21C504E}"/>
    <hyperlink ref="C49" r:id="rId217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4-05-01&amp;v%5Bcf_74%5D%5B%5D=2024-05-31&amp;f%5B%5D=&amp;c%5B%5D=tracker&amp;c%5B%5D=status&amp;c%5B%5D=subject&amp;c%5B%5D=assigned_to&amp;c%5B%5D=spent_hours&amp;c%5B%5D=done_ratio&amp;c%5B%5D=cf_78&amp;group_by=status&amp;t%5B%5D=" xr:uid="{068618A4-5D95-44FE-81BB-25B899257A2D}"/>
    <hyperlink ref="C50" r:id="rId218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4-06-01&amp;v%5Bcf_74%5D%5B%5D=2024-06-30&amp;f%5B%5D=&amp;c%5B%5D=tracker&amp;c%5B%5D=status&amp;c%5B%5D=subject&amp;c%5B%5D=assigned_to&amp;c%5B%5D=spent_hours&amp;c%5B%5D=done_ratio&amp;c%5B%5D=cf_78&amp;group_by=status&amp;t%5B%5D=" xr:uid="{2BB4AC0C-8C17-4278-B442-78451AAA1928}"/>
    <hyperlink ref="C51" r:id="rId219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4-07-01&amp;v%5Bcf_74%5D%5B%5D=2024-07-31&amp;f%5B%5D=&amp;c%5B%5D=tracker&amp;c%5B%5D=status&amp;c%5B%5D=subject&amp;c%5B%5D=assigned_to&amp;c%5B%5D=spent_hours&amp;c%5B%5D=done_ratio&amp;c%5B%5D=cf_78&amp;group_by=status&amp;t%5B%5D=" xr:uid="{E9A54E29-2708-4328-B965-AF8768844A79}"/>
    <hyperlink ref="C52" r:id="rId220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4-08-01&amp;v%5Bcf_74%5D%5B%5D=2024-08-31&amp;f%5B%5D=&amp;c%5B%5D=tracker&amp;c%5B%5D=status&amp;c%5B%5D=subject&amp;c%5B%5D=assigned_to&amp;c%5B%5D=spent_hours&amp;c%5B%5D=done_ratio&amp;c%5B%5D=cf_78&amp;group_by=status&amp;t%5B%5D=" xr:uid="{20C565F5-0E76-4049-BC5C-292CE83254C7}"/>
    <hyperlink ref="C53" r:id="rId221" display="https://gertiq.senado.gov.br/redmine/projects/projeto007/issues?utf8=%E2%9C%93&amp;set_filter=1&amp;sort=id%3Adesc&amp;f%5B%5D=status_id&amp;op%5Bstatus_id%5D=c&amp;f%5B%5D=created_on&amp;op%5Bcreated_on%5D=%3C%3D&amp;v%5Bcreated_on%5D%5B%5D=2020-12-31&amp;f%5B%5D=cf_74&amp;op%5Bcf_74%5D=%3E%3C&amp;v%5Bcf_74%5D%5B%5D=2024-09-01&amp;v%5Bcf_74%5D%5B%5D=2024-09-30&amp;f%5B%5D=&amp;c%5B%5D=tracker&amp;c%5B%5D=status&amp;c%5B%5D=subject&amp;c%5B%5D=assigned_to&amp;c%5B%5D=spent_hours&amp;c%5B%5D=done_ratio&amp;c%5B%5D=cf_78&amp;group_by=status&amp;t%5B%5D=" xr:uid="{C90071D2-E4BD-47DC-9F2F-7F3D690CF43E}"/>
    <hyperlink ref="E44" r:id="rId222" display="https://gertiq.senado.gov.br/redmine/projects/projeto007/issues?utf8=%E2%9C%93&amp;set_filter=1&amp;sort=id%3Adesc&amp;f%5B%5D=created_on&amp;op%5Bcreated_on%5D=%3E%3C&amp;v%5Bcreated_on%5D%5B%5D=2023-12-01&amp;v%5Bcreated_on%5D%5B%5D=2023-12-31&amp;f%5B%5D=&amp;c%5B%5D=tracker&amp;c%5B%5D=status&amp;c%5B%5D=subject&amp;c%5B%5D=assigned_to&amp;c%5B%5D=spent_hours&amp;c%5B%5D=done_ratio&amp;c%5B%5D=cf_78&amp;group_by=status&amp;t%5B%5D=" xr:uid="{E186EC58-C525-4620-8CE0-E9C528ED41CD}"/>
    <hyperlink ref="E45" r:id="rId223" display="https://gertiq.senado.gov.br/redmine/projects/projeto007/issues?utf8=%E2%9C%93&amp;set_filter=1&amp;sort=id%3Adesc&amp;f%5B%5D=created_on&amp;op%5Bcreated_on%5D=%3E%3C&amp;v%5Bcreated_on%5D%5B%5D=2024-01-01&amp;v%5Bcreated_on%5D%5B%5D=2024-01-31&amp;f%5B%5D=&amp;c%5B%5D=tracker&amp;c%5B%5D=status&amp;c%5B%5D=subject&amp;c%5B%5D=assigned_to&amp;c%5B%5D=spent_hours&amp;c%5B%5D=done_ratio&amp;c%5B%5D=cf_78&amp;group_by=status&amp;t%5B%5D=" xr:uid="{7BE19695-9182-4CA3-BB1D-05F834C5E7F7}"/>
    <hyperlink ref="E46" r:id="rId224" display="https://gertiq.senado.gov.br/redmine/projects/projeto007/issues?utf8=%E2%9C%93&amp;set_filter=1&amp;sort=id%3Adesc&amp;f%5B%5D=created_on&amp;op%5Bcreated_on%5D=%3E%3C&amp;v%5Bcreated_on%5D%5B%5D=2024-02-01&amp;v%5Bcreated_on%5D%5B%5D=2024-02-29&amp;f%5B%5D=&amp;c%5B%5D=tracker&amp;c%5B%5D=status&amp;c%5B%5D=subject&amp;c%5B%5D=assigned_to&amp;c%5B%5D=spent_hours&amp;c%5B%5D=done_ratio&amp;c%5B%5D=cf_78&amp;group_by=status&amp;t%5B%5D=" xr:uid="{EE79DF96-FDD3-4E4E-A584-AAEF27888096}"/>
    <hyperlink ref="E47" r:id="rId225" display="https://gertiq.senado.gov.br/redmine/projects/projeto007/issues?utf8=%E2%9C%93&amp;set_filter=1&amp;sort=id%3Adesc&amp;f%5B%5D=created_on&amp;op%5Bcreated_on%5D=%3E%3C&amp;v%5Bcreated_on%5D%5B%5D=2024-03-01&amp;v%5Bcreated_on%5D%5B%5D=2024-03-31&amp;f%5B%5D=&amp;c%5B%5D=tracker&amp;c%5B%5D=status&amp;c%5B%5D=subject&amp;c%5B%5D=assigned_to&amp;c%5B%5D=spent_hours&amp;c%5B%5D=done_ratio&amp;c%5B%5D=cf_78&amp;group_by=status&amp;t%5B%5D=" xr:uid="{3E6BB2DC-52A8-4D4C-BF0E-AEE9662BAB8B}"/>
    <hyperlink ref="E48" r:id="rId226" display="https://gertiq.senado.gov.br/redmine/projects/projeto007/issues?utf8=%E2%9C%93&amp;set_filter=1&amp;sort=id%3Adesc&amp;f%5B%5D=created_on&amp;op%5Bcreated_on%5D=%3E%3C&amp;v%5Bcreated_on%5D%5B%5D=2024-04-01&amp;v%5Bcreated_on%5D%5B%5D=2024-04-30&amp;f%5B%5D=&amp;c%5B%5D=tracker&amp;c%5B%5D=status&amp;c%5B%5D=subject&amp;c%5B%5D=assigned_to&amp;c%5B%5D=spent_hours&amp;c%5B%5D=done_ratio&amp;c%5B%5D=cf_78&amp;group_by=status&amp;t%5B%5D=" xr:uid="{4D7AD0AE-FDEA-4F78-A909-E561D5CFA8D0}"/>
    <hyperlink ref="E49" r:id="rId227" display="https://gertiq.senado.gov.br/redmine/projects/projeto007/issues?utf8=%E2%9C%93&amp;set_filter=1&amp;sort=id%3Adesc&amp;f%5B%5D=created_on&amp;op%5Bcreated_on%5D=%3E%3C&amp;v%5Bcreated_on%5D%5B%5D=2024-05-01&amp;v%5Bcreated_on%5D%5B%5D=2024-05-31&amp;f%5B%5D=&amp;c%5B%5D=tracker&amp;c%5B%5D=status&amp;c%5B%5D=subject&amp;c%5B%5D=assigned_to&amp;c%5B%5D=spent_hours&amp;c%5B%5D=done_ratio&amp;c%5B%5D=cf_78&amp;group_by=status&amp;t%5B%5D=" xr:uid="{A1E8D012-812D-4C45-9B7E-872E3278EFED}"/>
    <hyperlink ref="E50" r:id="rId228" display="https://gertiq.senado.gov.br/redmine/projects/projeto007/issues?utf8=%E2%9C%93&amp;set_filter=1&amp;sort=id%3Adesc&amp;f%5B%5D=created_on&amp;op%5Bcreated_on%5D=%3E%3C&amp;v%5Bcreated_on%5D%5B%5D=2024-06-01&amp;v%5Bcreated_on%5D%5B%5D=2024-06-30&amp;f%5B%5D=&amp;c%5B%5D=tracker&amp;c%5B%5D=status&amp;c%5B%5D=subject&amp;c%5B%5D=assigned_to&amp;c%5B%5D=spent_hours&amp;c%5B%5D=done_ratio&amp;c%5B%5D=cf_78&amp;group_by=status&amp;t%5B%5D=" xr:uid="{FEDC423E-65AF-4D42-B2A2-036BD655F2A3}"/>
    <hyperlink ref="E51" r:id="rId229" display="https://gertiq.senado.gov.br/redmine/projects/projeto007/issues?utf8=%E2%9C%93&amp;set_filter=1&amp;sort=id%3Adesc&amp;f%5B%5D=created_on&amp;op%5Bcreated_on%5D=%3E%3C&amp;v%5Bcreated_on%5D%5B%5D=2024-07-01&amp;v%5Bcreated_on%5D%5B%5D=2024-07-31&amp;f%5B%5D=&amp;c%5B%5D=tracker&amp;c%5B%5D=status&amp;c%5B%5D=subject&amp;c%5B%5D=assigned_to&amp;c%5B%5D=spent_hours&amp;c%5B%5D=done_ratio&amp;c%5B%5D=cf_78&amp;group_by=status&amp;t%5B%5D=" xr:uid="{AF1BFFD6-6072-4393-BBC2-44DEC4C1D47F}"/>
    <hyperlink ref="E52" r:id="rId230" display="https://gertiq.senado.gov.br/redmine/projects/projeto007/issues?utf8=%E2%9C%93&amp;set_filter=1&amp;sort=id%3Adesc&amp;f%5B%5D=created_on&amp;op%5Bcreated_on%5D=%3E%3C&amp;v%5Bcreated_on%5D%5B%5D=2024-08-01&amp;v%5Bcreated_on%5D%5B%5D=2024-08-31&amp;f%5B%5D=&amp;c%5B%5D=tracker&amp;c%5B%5D=status&amp;c%5B%5D=subject&amp;c%5B%5D=assigned_to&amp;c%5B%5D=spent_hours&amp;c%5B%5D=done_ratio&amp;c%5B%5D=cf_78&amp;group_by=status&amp;t%5B%5D=" xr:uid="{00D0E57A-F622-4B8C-89F8-0A3EC8DD62CE}"/>
    <hyperlink ref="E53" r:id="rId231" display="https://gertiq.senado.gov.br/redmine/projects/projeto007/issues?utf8=%E2%9C%93&amp;set_filter=1&amp;sort=id%3Adesc&amp;f%5B%5D=created_on&amp;op%5Bcreated_on%5D=%3E%3C&amp;v%5Bcreated_on%5D%5B%5D=2024-09-01&amp;v%5Bcreated_on%5D%5B%5D=2024-09-30&amp;f%5B%5D=&amp;c%5B%5D=tracker&amp;c%5B%5D=status&amp;c%5B%5D=subject&amp;c%5B%5D=assigned_to&amp;c%5B%5D=spent_hours&amp;c%5B%5D=done_ratio&amp;c%5B%5D=cf_78&amp;group_by=status&amp;t%5B%5D=" xr:uid="{D75ED2A0-2B16-472E-B9A7-927387CA2926}"/>
    <hyperlink ref="F44" r:id="rId232" display="https://gertiq.senado.gov.br/redmine/projects/projeto007/issues?utf8=%E2%9C%93&amp;set_filter=1&amp;sort=id%3Adesc&amp;f%5B%5D=created_on&amp;op%5Bcreated_on%5D=%3E%3C&amp;v%5Bcreated_on%5D%5B%5D=2023-12-01&amp;v%5Bcreated_on%5D%5B%5D=2023-12-31&amp;f%5B%5D=status_id&amp;op%5Bstatus_id%5D=c&amp;f%5B%5D=cf_74&amp;op%5Bcf_74%5D=%3E%3C&amp;v%5Bcf_74%5D%5B%5D=2023-12-01&amp;v%5Bcf_74%5D%5B%5D=2023-12-31&amp;f%5B%5D=&amp;c%5B%5D=tracker&amp;c%5B%5D=status&amp;c%5B%5D=subject&amp;c%5B%5D=assigned_to&amp;c%5B%5D=spent_hours&amp;c%5B%5D=done_ratio&amp;c%5B%5D=cf_78&amp;group_by=status&amp;t%5B%5D=" xr:uid="{D0436B64-3E4D-4FFE-A4DE-D041C4876E6B}"/>
    <hyperlink ref="F45" r:id="rId233" display="https://gertiq.senado.gov.br/redmine/projects/projeto007/issues?utf8=%E2%9C%93&amp;set_filter=1&amp;sort=id%3Adesc&amp;f%5B%5D=created_on&amp;op%5Bcreated_on%5D=%3E%3C&amp;v%5Bcreated_on%5D%5B%5D=2024-01-01&amp;v%5Bcreated_on%5D%5B%5D=2024-01-31&amp;f%5B%5D=status_id&amp;op%5Bstatus_id%5D=c&amp;f%5B%5D=cf_74&amp;op%5Bcf_74%5D=%3E%3C&amp;v%5Bcf_74%5D%5B%5D=2024-01-01&amp;v%5Bcf_74%5D%5B%5D=2024-01-31&amp;f%5B%5D=&amp;c%5B%5D=tracker&amp;c%5B%5D=status&amp;c%5B%5D=subject&amp;c%5B%5D=assigned_to&amp;c%5B%5D=spent_hours&amp;c%5B%5D=done_ratio&amp;c%5B%5D=cf_78&amp;group_by=status&amp;t%5B%5D=" xr:uid="{4D4965B5-71A1-40C9-9BF1-A31230842E72}"/>
    <hyperlink ref="F46" r:id="rId234" display="https://gertiq.senado.gov.br/redmine/projects/projeto007/issues?utf8=%E2%9C%93&amp;set_filter=1&amp;sort=id%3Adesc&amp;f%5B%5D=created_on&amp;op%5Bcreated_on%5D=%3E%3C&amp;v%5Bcreated_on%5D%5B%5D=2024-02-01&amp;v%5Bcreated_on%5D%5B%5D=2024-02-29&amp;f%5B%5D=status_id&amp;op%5Bstatus_id%5D=c&amp;f%5B%5D=cf_74&amp;op%5Bcf_74%5D=%3E%3C&amp;v%5Bcf_74%5D%5B%5D=2024-02-01&amp;v%5Bcf_74%5D%5B%5D=2024-02-29&amp;f%5B%5D=&amp;c%5B%5D=tracker&amp;c%5B%5D=status&amp;c%5B%5D=subject&amp;c%5B%5D=assigned_to&amp;c%5B%5D=spent_hours&amp;c%5B%5D=done_ratio&amp;c%5B%5D=cf_78&amp;group_by=status&amp;t%5B%5D=" xr:uid="{ECF63DFC-848E-4998-B6CD-34D892B0DA6F}"/>
    <hyperlink ref="F47" r:id="rId235" display="https://gertiq.senado.gov.br/redmine/projects/projeto007/issues?utf8=%E2%9C%93&amp;set_filter=1&amp;sort=id%3Adesc&amp;f%5B%5D=created_on&amp;op%5Bcreated_on%5D=%3E%3C&amp;v%5Bcreated_on%5D%5B%5D=2024-03-01&amp;v%5Bcreated_on%5D%5B%5D=2024-03-31&amp;f%5B%5D=status_id&amp;op%5Bstatus_id%5D=c&amp;f%5B%5D=cf_74&amp;op%5Bcf_74%5D=%3E%3C&amp;v%5Bcf_74%5D%5B%5D=2024-03-01&amp;v%5Bcf_74%5D%5B%5D=2024-03-31&amp;f%5B%5D=&amp;c%5B%5D=tracker&amp;c%5B%5D=status&amp;c%5B%5D=subject&amp;c%5B%5D=assigned_to&amp;c%5B%5D=spent_hours&amp;c%5B%5D=done_ratio&amp;c%5B%5D=cf_78&amp;group_by=status&amp;t%5B%5D=" xr:uid="{13850534-7205-4DE2-B81E-CFC470844A28}"/>
    <hyperlink ref="F48" r:id="rId236" display="https://gertiq.senado.gov.br/redmine/projects/projeto007/issues?utf8=%E2%9C%93&amp;set_filter=1&amp;sort=id%3Adesc&amp;f%5B%5D=created_on&amp;op%5Bcreated_on%5D=%3E%3C&amp;v%5Bcreated_on%5D%5B%5D=2024-04-01&amp;v%5Bcreated_on%5D%5B%5D=2024-04-30&amp;f%5B%5D=status_id&amp;op%5Bstatus_id%5D=c&amp;f%5B%5D=cf_74&amp;op%5Bcf_74%5D=%3E%3C&amp;v%5Bcf_74%5D%5B%5D=2024-04-01&amp;v%5Bcf_74%5D%5B%5D=2024-04-30&amp;f%5B%5D=&amp;c%5B%5D=tracker&amp;c%5B%5D=status&amp;c%5B%5D=subject&amp;c%5B%5D=assigned_to&amp;c%5B%5D=spent_hours&amp;c%5B%5D=done_ratio&amp;c%5B%5D=cf_78&amp;group_by=status&amp;t%5B%5D=" xr:uid="{EEA0226C-5495-405B-AB2B-17890A93F8A6}"/>
    <hyperlink ref="F49" r:id="rId237" display="https://gertiq.senado.gov.br/redmine/projects/projeto007/issues?utf8=%E2%9C%93&amp;set_filter=1&amp;sort=id%3Adesc&amp;f%5B%5D=created_on&amp;op%5Bcreated_on%5D=%3E%3C&amp;v%5Bcreated_on%5D%5B%5D=2024-05-01&amp;v%5Bcreated_on%5D%5B%5D=2024-05-31&amp;f%5B%5D=status_id&amp;op%5Bstatus_id%5D=c&amp;f%5B%5D=cf_74&amp;op%5Bcf_74%5D=%3E%3C&amp;v%5Bcf_74%5D%5B%5D=2024-05-01&amp;v%5Bcf_74%5D%5B%5D=2024-05-31&amp;f%5B%5D=&amp;c%5B%5D=tracker&amp;c%5B%5D=status&amp;c%5B%5D=subject&amp;c%5B%5D=assigned_to&amp;c%5B%5D=spent_hours&amp;c%5B%5D=done_ratio&amp;c%5B%5D=cf_78&amp;group_by=status&amp;t%5B%5D=" xr:uid="{A4AB9D84-B265-49B1-A9AD-FDF3F97BF2D2}"/>
    <hyperlink ref="F50" r:id="rId238" display="https://gertiq.senado.gov.br/redmine/projects/projeto007/issues?utf8=%E2%9C%93&amp;set_filter=1&amp;sort=id%3Adesc&amp;f%5B%5D=created_on&amp;op%5Bcreated_on%5D=%3E%3C&amp;v%5Bcreated_on%5D%5B%5D=2024-06-01&amp;v%5Bcreated_on%5D%5B%5D=2024-06-30&amp;f%5B%5D=status_id&amp;op%5Bstatus_id%5D=c&amp;f%5B%5D=cf_74&amp;op%5Bcf_74%5D=%3E%3C&amp;v%5Bcf_74%5D%5B%5D=2024-06-01&amp;v%5Bcf_74%5D%5B%5D=2024-06-30&amp;f%5B%5D=&amp;c%5B%5D=tracker&amp;c%5B%5D=status&amp;c%5B%5D=subject&amp;c%5B%5D=assigned_to&amp;c%5B%5D=spent_hours&amp;c%5B%5D=done_ratio&amp;c%5B%5D=cf_78&amp;group_by=status&amp;t%5B%5D=" xr:uid="{CB5C6581-0EFF-4041-BD67-B75839C5FBC0}"/>
    <hyperlink ref="F51" r:id="rId239" display="https://gertiq.senado.gov.br/redmine/projects/projeto007/issues?utf8=%E2%9C%93&amp;set_filter=1&amp;sort=id%3Adesc&amp;f%5B%5D=created_on&amp;op%5Bcreated_on%5D=%3E%3C&amp;v%5Bcreated_on%5D%5B%5D=2024-07-01&amp;v%5Bcreated_on%5D%5B%5D=2024-07-31&amp;f%5B%5D=status_id&amp;op%5Bstatus_id%5D=c&amp;f%5B%5D=cf_74&amp;op%5Bcf_74%5D=%3E%3C&amp;v%5Bcf_74%5D%5B%5D=2024-07-01&amp;v%5Bcf_74%5D%5B%5D=2024-07-31&amp;f%5B%5D=&amp;c%5B%5D=tracker&amp;c%5B%5D=status&amp;c%5B%5D=subject&amp;c%5B%5D=assigned_to&amp;c%5B%5D=spent_hours&amp;c%5B%5D=done_ratio&amp;c%5B%5D=cf_78&amp;group_by=status&amp;t%5B%5D=" xr:uid="{365F41F3-75C6-40E4-9456-0090AAF45BC4}"/>
    <hyperlink ref="F52" r:id="rId240" display="https://gertiq.senado.gov.br/redmine/projects/projeto007/issues?utf8=%E2%9C%93&amp;set_filter=1&amp;sort=id%3Adesc&amp;f%5B%5D=created_on&amp;op%5Bcreated_on%5D=%3E%3C&amp;v%5Bcreated_on%5D%5B%5D=2024-08-01&amp;v%5Bcreated_on%5D%5B%5D=2024-08-31&amp;f%5B%5D=status_id&amp;op%5Bstatus_id%5D=c&amp;f%5B%5D=cf_74&amp;op%5Bcf_74%5D=%3E%3C&amp;v%5Bcf_74%5D%5B%5D=2024-08-01&amp;v%5Bcf_74%5D%5B%5D=2024-08-31&amp;f%5B%5D=&amp;c%5B%5D=tracker&amp;c%5B%5D=status&amp;c%5B%5D=subject&amp;c%5B%5D=assigned_to&amp;c%5B%5D=spent_hours&amp;c%5B%5D=done_ratio&amp;c%5B%5D=cf_78&amp;group_by=status&amp;t%5B%5D=" xr:uid="{E07869F0-8D66-4586-B7A6-392A18546854}"/>
    <hyperlink ref="F53" r:id="rId241" display="https://gertiq.senado.gov.br/redmine/projects/projeto007/issues?utf8=%E2%9C%93&amp;set_filter=1&amp;sort=id%3Adesc&amp;f%5B%5D=created_on&amp;op%5Bcreated_on%5D=%3E%3C&amp;v%5Bcreated_on%5D%5B%5D=2024-09-01&amp;v%5Bcreated_on%5D%5B%5D=2024-09-30&amp;f%5B%5D=status_id&amp;op%5Bstatus_id%5D=c&amp;f%5B%5D=cf_74&amp;op%5Bcf_74%5D=%3E%3C&amp;v%5Bcf_74%5D%5B%5D=2024-09-01&amp;v%5Bcf_74%5D%5B%5D=2024-09-30&amp;f%5B%5D=&amp;c%5B%5D=tracker&amp;c%5B%5D=status&amp;c%5B%5D=subject&amp;c%5B%5D=assigned_to&amp;c%5B%5D=spent_hours&amp;c%5B%5D=done_ratio&amp;c%5B%5D=cf_78&amp;group_by=status&amp;t%5B%5D=" xr:uid="{68715AF2-8F46-4AD0-95FF-B46322D94B6D}"/>
    <hyperlink ref="G44" r:id="rId242" display="https://gertiq.senado.gov.br/redmine/projects/projeto007/issues?utf8=%E2%9C%93&amp;set_filter=1&amp;sort=id%3Adesc&amp;f%5B%5D=status_id&amp;op%5Bstatus_id%5D=c&amp;f%5B%5D=cf_74&amp;op%5Bcf_74%5D=%3E%3C&amp;v%5Bcf_74%5D%5B%5D=2023-11-01&amp;v%5Bcf_74%5D%5B%5D=2023-11-30&amp;f%5B%5D=created_on&amp;op%5Bcreated_on%5D=%3E%3D&amp;v%5Bcreated_on%5D%5B%5D=2023-12-01&amp;f%5B%5D=&amp;c%5B%5D=tracker&amp;c%5B%5D=status&amp;c%5B%5D=subject&amp;c%5B%5D=assigned_to&amp;c%5B%5D=created_on&amp;c%5B%5D=cf_74&amp;group_by=status&amp;t%5B%5D=" xr:uid="{4892E906-A0CB-4E69-BCD2-843FB6FCEF90}"/>
    <hyperlink ref="G45" r:id="rId243" display="https://gertiq.senado.gov.br/redmine/projects/projeto007/issues?utf8=%E2%9C%93&amp;set_filter=1&amp;sort=id%3Adesc&amp;f%5B%5D=status_id&amp;op%5Bstatus_id%5D=c&amp;f%5B%5D=cf_74&amp;op%5Bcf_74%5D=%3E%3C&amp;v%5Bcf_74%5D%5B%5D=2024-12-01&amp;v%5Bcf_74%5D%5B%5D=2023-12-31&amp;f%5B%5D=created_on&amp;op%5Bcreated_on%5D=%3E%3D&amp;v%5Bcreated_on%5D%5B%5D=2024-01-01&amp;f%5B%5D=&amp;c%5B%5D=tracker&amp;c%5B%5D=status&amp;c%5B%5D=subject&amp;c%5B%5D=assigned_to&amp;c%5B%5D=created_on&amp;c%5B%5D=cf_74&amp;group_by=status&amp;t%5B%5D=" xr:uid="{D297B4CB-8E9E-4983-A682-3F453D3C9638}"/>
    <hyperlink ref="G46" r:id="rId244" display="https://gertiq.senado.gov.br/redmine/projects/projeto007/issues?utf8=%E2%9C%93&amp;set_filter=1&amp;sort=id%3Adesc&amp;f%5B%5D=status_id&amp;op%5Bstatus_id%5D=c&amp;f%5B%5D=cf_74&amp;op%5Bcf_74%5D=%3E%3C&amp;v%5Bcf_74%5D%5B%5D=2024-01-01&amp;v%5Bcf_74%5D%5B%5D=2024-01-31&amp;f%5B%5D=created_on&amp;op%5Bcreated_on%5D=%3E%3D&amp;v%5Bcreated_on%5D%5B%5D=2024-02-01&amp;f%5B%5D=&amp;c%5B%5D=tracker&amp;c%5B%5D=status&amp;c%5B%5D=subject&amp;c%5B%5D=assigned_to&amp;c%5B%5D=created_on&amp;c%5B%5D=cf_74&amp;group_by=status&amp;t%5B%5D=" xr:uid="{A45905B6-5445-4C03-A79E-79EA10F7D9F5}"/>
    <hyperlink ref="G47" r:id="rId245" display="https://gertiq.senado.gov.br/redmine/projects/projeto007/issues?utf8=%E2%9C%93&amp;set_filter=1&amp;sort=id%3Adesc&amp;f%5B%5D=status_id&amp;op%5Bstatus_id%5D=c&amp;f%5B%5D=cf_74&amp;op%5Bcf_74%5D=%3E%3C&amp;v%5Bcf_74%5D%5B%5D=2024-02-01&amp;v%5Bcf_74%5D%5B%5D=2024-02-29&amp;f%5B%5D=created_on&amp;op%5Bcreated_on%5D=%3E%3D&amp;v%5Bcreated_on%5D%5B%5D=2024-03-01&amp;f%5B%5D=&amp;c%5B%5D=tracker&amp;c%5B%5D=status&amp;c%5B%5D=subject&amp;c%5B%5D=assigned_to&amp;c%5B%5D=created_on&amp;c%5B%5D=cf_74&amp;group_by=status&amp;t%5B%5D=" xr:uid="{87983B15-4C6A-403C-B928-5CD786FA14DF}"/>
    <hyperlink ref="G48" r:id="rId246" display="https://gertiq.senado.gov.br/redmine/projects/projeto007/issues?utf8=%E2%9C%93&amp;set_filter=1&amp;sort=id%3Adesc&amp;f%5B%5D=status_id&amp;op%5Bstatus_id%5D=c&amp;f%5B%5D=cf_74&amp;op%5Bcf_74%5D=%3E%3C&amp;v%5Bcf_74%5D%5B%5D=2024-03-01&amp;v%5Bcf_74%5D%5B%5D=2024-03-31&amp;f%5B%5D=created_on&amp;op%5Bcreated_on%5D=%3E%3D&amp;v%5Bcreated_on%5D%5B%5D=2024-04-01&amp;f%5B%5D=&amp;c%5B%5D=tracker&amp;c%5B%5D=status&amp;c%5B%5D=subject&amp;c%5B%5D=assigned_to&amp;c%5B%5D=created_on&amp;c%5B%5D=cf_74&amp;group_by=status&amp;t%5B%5D=" xr:uid="{E19797DC-0287-4B64-9851-77CFFF719BAD}"/>
    <hyperlink ref="G49" r:id="rId247" display="https://gertiq.senado.gov.br/redmine/projects/projeto007/issues?utf8=%E2%9C%93&amp;set_filter=1&amp;sort=id%3Adesc&amp;f%5B%5D=status_id&amp;op%5Bstatus_id%5D=c&amp;f%5B%5D=cf_74&amp;op%5Bcf_74%5D=%3E%3C&amp;v%5Bcf_74%5D%5B%5D=2024-04-01&amp;v%5Bcf_74%5D%5B%5D=2024-04-30&amp;f%5B%5D=created_on&amp;op%5Bcreated_on%5D=%3E%3D&amp;v%5Bcreated_on%5D%5B%5D=2024-05-01&amp;f%5B%5D=&amp;c%5B%5D=tracker&amp;c%5B%5D=status&amp;c%5B%5D=subject&amp;c%5B%5D=assigned_to&amp;c%5B%5D=created_on&amp;c%5B%5D=cf_74&amp;group_by=status&amp;t%5B%5D=" xr:uid="{7B36C2D9-A463-4819-8A8F-0E4FA035DF94}"/>
    <hyperlink ref="G50" r:id="rId248" display="https://gertiq.senado.gov.br/redmine/projects/projeto007/issues?utf8=%E2%9C%93&amp;set_filter=1&amp;sort=id%3Adesc&amp;f%5B%5D=status_id&amp;op%5Bstatus_id%5D=c&amp;f%5B%5D=cf_74&amp;op%5Bcf_74%5D=%3E%3C&amp;v%5Bcf_74%5D%5B%5D=2024-05-01&amp;v%5Bcf_74%5D%5B%5D=2024-05-31&amp;f%5B%5D=created_on&amp;op%5Bcreated_on%5D=%3E%3D&amp;v%5Bcreated_on%5D%5B%5D=2024-06-01&amp;f%5B%5D=&amp;c%5B%5D=tracker&amp;c%5B%5D=status&amp;c%5B%5D=subject&amp;c%5B%5D=assigned_to&amp;c%5B%5D=created_on&amp;c%5B%5D=cf_74&amp;group_by=status&amp;t%5B%5D=" xr:uid="{B8487233-BC2B-4943-AC1C-1E9C2265F349}"/>
    <hyperlink ref="G51" r:id="rId249" display="https://gertiq.senado.gov.br/redmine/projects/projeto007/issues?utf8=%E2%9C%93&amp;set_filter=1&amp;sort=id%3Adesc&amp;f%5B%5D=status_id&amp;op%5Bstatus_id%5D=c&amp;f%5B%5D=cf_74&amp;op%5Bcf_74%5D=%3E%3C&amp;v%5Bcf_74%5D%5B%5D=2024-06-01&amp;v%5Bcf_74%5D%5B%5D=2024-06-30&amp;f%5B%5D=created_on&amp;op%5Bcreated_on%5D=%3E%3D&amp;v%5Bcreated_on%5D%5B%5D=2024-07-01&amp;f%5B%5D=&amp;c%5B%5D=tracker&amp;c%5B%5D=status&amp;c%5B%5D=subject&amp;c%5B%5D=assigned_to&amp;c%5B%5D=created_on&amp;c%5B%5D=cf_74&amp;group_by=status&amp;t%5B%5D=" xr:uid="{AAA16D9C-06DC-4ECE-83F9-5F75C51613C0}"/>
    <hyperlink ref="G52" r:id="rId250" display="https://gertiq.senado.gov.br/redmine/projects/projeto007/issues?utf8=%E2%9C%93&amp;set_filter=1&amp;sort=id%3Adesc&amp;f%5B%5D=status_id&amp;op%5Bstatus_id%5D=c&amp;f%5B%5D=cf_74&amp;op%5Bcf_74%5D=%3E%3C&amp;v%5Bcf_74%5D%5B%5D=2024-07-01&amp;v%5Bcf_74%5D%5B%5D=2024-07-31&amp;f%5B%5D=created_on&amp;op%5Bcreated_on%5D=%3E%3D&amp;v%5Bcreated_on%5D%5B%5D=2024-08-01&amp;f%5B%5D=&amp;c%5B%5D=tracker&amp;c%5B%5D=status&amp;c%5B%5D=subject&amp;c%5B%5D=assigned_to&amp;c%5B%5D=created_on&amp;c%5B%5D=cf_74&amp;group_by=status&amp;t%5B%5D=" xr:uid="{402C4057-585C-4702-A7A6-E1BA9E8A2EEE}"/>
    <hyperlink ref="G53" r:id="rId251" display="https://gertiq.senado.gov.br/redmine/projects/projeto007/issues?utf8=%E2%9C%93&amp;set_filter=1&amp;sort=id%3Adesc&amp;f%5B%5D=status_id&amp;op%5Bstatus_id%5D=c&amp;f%5B%5D=cf_74&amp;op%5Bcf_74%5D=%3E%3C&amp;v%5Bcf_74%5D%5B%5D=2024-08-01&amp;v%5Bcf_74%5D%5B%5D=2024-08-31&amp;f%5B%5D=created_on&amp;op%5Bcreated_on%5D=%3E%3D&amp;v%5Bcreated_on%5D%5B%5D=2024-09-01&amp;f%5B%5D=&amp;c%5B%5D=tracker&amp;c%5B%5D=status&amp;c%5B%5D=subject&amp;c%5B%5D=assigned_to&amp;c%5B%5D=created_on&amp;c%5B%5D=cf_74&amp;group_by=status&amp;t%5B%5D=" xr:uid="{FABDC6D7-BF43-463F-B379-4B6FACB5A60C}"/>
    <hyperlink ref="H44" r:id="rId252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3-12-01&amp;v%5Bcreated_on%5D%5B%5D=2023-12-31&amp;f%5B%5D=&amp;c%5B%5D=tracker&amp;c%5B%5D=status&amp;c%5B%5D=subject&amp;c%5B%5D=assigned_to&amp;c%5B%5D=created_on&amp;group_by=status&amp;t%5B%5D=" xr:uid="{FA3C3E10-1AE6-4D87-974F-3F7FC7D9F2D8}"/>
    <hyperlink ref="H45" r:id="rId253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4-01-01&amp;v%5Bcreated_on%5D%5B%5D=2024-01-31&amp;f%5B%5D=&amp;c%5B%5D=tracker&amp;c%5B%5D=status&amp;c%5B%5D=subject&amp;c%5B%5D=assigned_to&amp;c%5B%5D=created_on&amp;group_by=status&amp;t%5B%5D=" xr:uid="{386F15E1-A58D-4EAA-BB6A-238BB9041AE5}"/>
    <hyperlink ref="H46" r:id="rId254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4-02-01&amp;v%5Bcreated_on%5D%5B%5D=2024-02-29&amp;f%5B%5D=&amp;c%5B%5D=tracker&amp;c%5B%5D=status&amp;c%5B%5D=subject&amp;c%5B%5D=assigned_to&amp;c%5B%5D=created_on&amp;group_by=status&amp;t%5B%5D=" xr:uid="{736F16AB-8DE4-4F3B-B3E5-5BF14C408AA3}"/>
    <hyperlink ref="H47" r:id="rId255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4-03-01&amp;v%5Bcreated_on%5D%5B%5D=2024-03-31&amp;f%5B%5D=&amp;c%5B%5D=tracker&amp;c%5B%5D=status&amp;c%5B%5D=subject&amp;c%5B%5D=assigned_to&amp;c%5B%5D=created_on&amp;group_by=status&amp;t%5B%5D=" xr:uid="{2172E488-80F9-4F7B-B048-312ADC0E5137}"/>
    <hyperlink ref="H48" r:id="rId256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4-04-01&amp;v%5Bcreated_on%5D%5B%5D=2024-04-30&amp;f%5B%5D=&amp;c%5B%5D=tracker&amp;c%5B%5D=status&amp;c%5B%5D=subject&amp;c%5B%5D=assigned_to&amp;c%5B%5D=created_on&amp;group_by=status&amp;t%5B%5D=" xr:uid="{578A746F-BF58-4452-B16B-E31F3E2DDB1F}"/>
    <hyperlink ref="H49" r:id="rId257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4-05-01&amp;v%5Bcreated_on%5D%5B%5D=2024-05-31&amp;f%5B%5D=&amp;c%5B%5D=tracker&amp;c%5B%5D=status&amp;c%5B%5D=subject&amp;c%5B%5D=assigned_to&amp;c%5B%5D=created_on&amp;group_by=status&amp;t%5B%5D=" xr:uid="{75BAA10F-A128-4B20-A465-AC0FA1F3C50D}"/>
    <hyperlink ref="H50" r:id="rId258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4-06-01&amp;v%5Bcreated_on%5D%5B%5D=2024-06-30&amp;f%5B%5D=&amp;c%5B%5D=tracker&amp;c%5B%5D=status&amp;c%5B%5D=subject&amp;c%5B%5D=assigned_to&amp;c%5B%5D=created_on&amp;group_by=status&amp;t%5B%5D=" xr:uid="{AD47326E-CB47-4AF6-8560-F3D79BDD28BE}"/>
    <hyperlink ref="H51" r:id="rId259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4-07-01&amp;v%5Bcreated_on%5D%5B%5D=2024-07-31&amp;f%5B%5D=&amp;c%5B%5D=tracker&amp;c%5B%5D=status&amp;c%5B%5D=subject&amp;c%5B%5D=assigned_to&amp;c%5B%5D=created_on&amp;group_by=status&amp;t%5B%5D=" xr:uid="{3A811C09-4264-4912-815E-78CA5D7FC127}"/>
    <hyperlink ref="H52" r:id="rId260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4-08-01&amp;v%5Bcreated_on%5D%5B%5D=2024-08-31&amp;f%5B%5D=&amp;c%5B%5D=tracker&amp;c%5B%5D=status&amp;c%5B%5D=subject&amp;c%5B%5D=assigned_to&amp;c%5B%5D=created_on&amp;group_by=status&amp;t%5B%5D=" xr:uid="{5F5BEC26-706A-4DF9-893D-E7C6AA61AE66}"/>
    <hyperlink ref="H53" r:id="rId261" display="https://gertiq.senado.gov.br/redmine/projects/projeto007/issues?utf8=%E2%9C%93&amp;set_filter=1&amp;sort=id%3Adesc&amp;f%5B%5D=status_id&amp;op%5Bstatus_id%5D=c&amp;f%5B%5D=cf_74&amp;op%5Bcf_74%5D=%21*&amp;f%5B%5D=created_on&amp;op%5Bcreated_on%5D=%3E%3C&amp;v%5Bcreated_on%5D%5B%5D=2024-09-01&amp;v%5Bcreated_on%5D%5B%5D=2024-09-30&amp;f%5B%5D=&amp;c%5B%5D=tracker&amp;c%5B%5D=status&amp;c%5B%5D=subject&amp;c%5B%5D=assigned_to&amp;c%5B%5D=created_on&amp;group_by=status&amp;t%5B%5D=" xr:uid="{96D2FCEB-FCCF-4C68-8D6F-5619E02B041C}"/>
    <hyperlink ref="I44" r:id="rId262" display="https://gertiq.senado.gov.br/redmine/projects/projeto007/issues?utf8=%E2%9C%93&amp;set_filter=1&amp;sort=created_on%2Cid%3Adesc&amp;f%5B%5D=status_id&amp;op%5Bstatus_id%5D=c&amp;f%5B%5D=cf_74&amp;op%5Bcf_74%5D=%3E%3C&amp;v%5Bcf_74%5D%5B%5D=2023-12-01&amp;v%5Bcf_74%5D%5B%5D=2023-12-31&amp;f%5B%5D=created_on&amp;op%5Bcreated_on%5D=%3E%3C&amp;v%5Bcreated_on%5D%5B%5D=2021-01-01&amp;v%5Bcreated_on%5D%5B%5D=2023-11-30&amp;f%5B%5D=&amp;c%5B%5D=tracker&amp;c%5B%5D=status&amp;c%5B%5D=subject&amp;c%5B%5D=assigned_to&amp;c%5B%5D=created_on&amp;c%5B%5D=cf_74&amp;group_by=&amp;t%5B%5D=" xr:uid="{6E844C15-260B-45F9-8E76-F9A0CF417BF9}"/>
    <hyperlink ref="I45" r:id="rId263" display="https://gertiq.senado.gov.br/redmine/projects/projeto007/issues?utf8=%E2%9C%93&amp;set_filter=1&amp;sort=created_on%2Cid%3Adesc&amp;f%5B%5D=status_id&amp;op%5Bstatus_id%5D=c&amp;f%5B%5D=cf_74&amp;op%5Bcf_74%5D=%3E%3C&amp;v%5Bcf_74%5D%5B%5D=2024-01-01&amp;v%5Bcf_74%5D%5B%5D=2024-01-31&amp;f%5B%5D=created_on&amp;op%5Bcreated_on%5D=%3E%3C&amp;v%5Bcreated_on%5D%5B%5D=2021-01-01&amp;v%5Bcreated_on%5D%5B%5D=2023-12-31&amp;f%5B%5D=&amp;c%5B%5D=tracker&amp;c%5B%5D=status&amp;c%5B%5D=subject&amp;c%5B%5D=assigned_to&amp;c%5B%5D=created_on&amp;c%5B%5D=cf_74&amp;group_by=&amp;t%5B%5D=" xr:uid="{76072CF7-D253-4062-AF28-3306A9B1F45A}"/>
    <hyperlink ref="I46" r:id="rId264" display="https://gertiq.senado.gov.br/redmine/projects/projeto007/issues?utf8=%E2%9C%93&amp;set_filter=1&amp;sort=created_on%2Cid%3Adesc&amp;f%5B%5D=status_id&amp;op%5Bstatus_id%5D=c&amp;f%5B%5D=cf_74&amp;op%5Bcf_74%5D=%3E%3C&amp;v%5Bcf_74%5D%5B%5D=2024-02-01&amp;v%5Bcf_74%5D%5B%5D=2024-02-29&amp;f%5B%5D=created_on&amp;op%5Bcreated_on%5D=%3E%3C&amp;v%5Bcreated_on%5D%5B%5D=2021-01-01&amp;v%5Bcreated_on%5D%5B%5D=2024-01-31&amp;f%5B%5D=&amp;c%5B%5D=tracker&amp;c%5B%5D=status&amp;c%5B%5D=subject&amp;c%5B%5D=assigned_to&amp;c%5B%5D=created_on&amp;c%5B%5D=cf_74&amp;group_by=&amp;t%5B%5D=" xr:uid="{E0B8FE0D-5840-4867-BCC9-B0867672A9EB}"/>
    <hyperlink ref="I47" r:id="rId265" display="https://gertiq.senado.gov.br/redmine/projects/projeto007/issues?utf8=%E2%9C%93&amp;set_filter=1&amp;sort=created_on%2Cid%3Adesc&amp;f%5B%5D=status_id&amp;op%5Bstatus_id%5D=c&amp;f%5B%5D=cf_74&amp;op%5Bcf_74%5D=%3E%3C&amp;v%5Bcf_74%5D%5B%5D=2024-03-01&amp;v%5Bcf_74%5D%5B%5D=2024-03-31&amp;f%5B%5D=created_on&amp;op%5Bcreated_on%5D=%3E%3C&amp;v%5Bcreated_on%5D%5B%5D=2021-01-01&amp;v%5Bcreated_on%5D%5B%5D=2024-02-29&amp;f%5B%5D=&amp;c%5B%5D=tracker&amp;c%5B%5D=status&amp;c%5B%5D=subject&amp;c%5B%5D=assigned_to&amp;c%5B%5D=created_on&amp;c%5B%5D=cf_74&amp;group_by=&amp;t%5B%5D=" xr:uid="{ABEDCB6A-2B14-4592-A6D4-F7532EE8836C}"/>
    <hyperlink ref="I48" r:id="rId266" display="https://gertiq.senado.gov.br/redmine/projects/projeto007/issues?utf8=%E2%9C%93&amp;set_filter=1&amp;sort=created_on%2Cid%3Adesc&amp;f%5B%5D=status_id&amp;op%5Bstatus_id%5D=c&amp;f%5B%5D=cf_74&amp;op%5Bcf_74%5D=%3E%3C&amp;v%5Bcf_74%5D%5B%5D=2024-04-01&amp;v%5Bcf_74%5D%5B%5D=2024-04-30&amp;f%5B%5D=created_on&amp;op%5Bcreated_on%5D=%3E%3C&amp;v%5Bcreated_on%5D%5B%5D=2021-01-01&amp;v%5Bcreated_on%5D%5B%5D=2024-03-31&amp;f%5B%5D=&amp;c%5B%5D=tracker&amp;c%5B%5D=status&amp;c%5B%5D=subject&amp;c%5B%5D=assigned_to&amp;c%5B%5D=created_on&amp;c%5B%5D=cf_74&amp;group_by=&amp;t%5B%5D=" xr:uid="{D4E68564-9252-44EF-AB41-32C0C2C75BDD}"/>
    <hyperlink ref="I49" r:id="rId267" display="https://gertiq.senado.gov.br/redmine/projects/projeto007/issues?utf8=%E2%9C%93&amp;set_filter=1&amp;sort=created_on%2Cid%3Adesc&amp;f%5B%5D=status_id&amp;op%5Bstatus_id%5D=c&amp;f%5B%5D=cf_74&amp;op%5Bcf_74%5D=%3E%3C&amp;v%5Bcf_74%5D%5B%5D=2024-05-01&amp;v%5Bcf_74%5D%5B%5D=2024-05-31&amp;f%5B%5D=created_on&amp;op%5Bcreated_on%5D=%3E%3C&amp;v%5Bcreated_on%5D%5B%5D=2021-01-01&amp;v%5Bcreated_on%5D%5B%5D=2024-04-30&amp;f%5B%5D=&amp;c%5B%5D=tracker&amp;c%5B%5D=status&amp;c%5B%5D=subject&amp;c%5B%5D=assigned_to&amp;c%5B%5D=created_on&amp;c%5B%5D=cf_74&amp;group_by=&amp;t%5B%5D=" xr:uid="{DB348E85-E863-4093-9738-1AEDE7E7CABF}"/>
    <hyperlink ref="I50" r:id="rId268" display="https://gertiq.senado.gov.br/redmine/projects/projeto007/issues?utf8=%E2%9C%93&amp;set_filter=1&amp;sort=created_on%2Cid%3Adesc&amp;f%5B%5D=status_id&amp;op%5Bstatus_id%5D=c&amp;f%5B%5D=cf_74&amp;op%5Bcf_74%5D=%3E%3C&amp;v%5Bcf_74%5D%5B%5D=2024-06-01&amp;v%5Bcf_74%5D%5B%5D=2024-06-30&amp;f%5B%5D=created_on&amp;op%5Bcreated_on%5D=%3E%3C&amp;v%5Bcreated_on%5D%5B%5D=2021-01-01&amp;v%5Bcreated_on%5D%5B%5D=2024-05-31&amp;f%5B%5D=&amp;c%5B%5D=tracker&amp;c%5B%5D=status&amp;c%5B%5D=subject&amp;c%5B%5D=assigned_to&amp;c%5B%5D=created_on&amp;c%5B%5D=cf_74&amp;group_by=&amp;t%5B%5D=" xr:uid="{A9C5966A-B7B4-4406-9196-038983315241}"/>
    <hyperlink ref="I51" r:id="rId269" display="https://gertiq.senado.gov.br/redmine/projects/projeto007/issues?utf8=%E2%9C%93&amp;set_filter=1&amp;sort=created_on%2Cid%3Adesc&amp;f%5B%5D=status_id&amp;op%5Bstatus_id%5D=c&amp;f%5B%5D=cf_74&amp;op%5Bcf_74%5D=%3E%3C&amp;v%5Bcf_74%5D%5B%5D=2024-07-01&amp;v%5Bcf_74%5D%5B%5D=2024-07-31&amp;f%5B%5D=created_on&amp;op%5Bcreated_on%5D=%3E%3C&amp;v%5Bcreated_on%5D%5B%5D=2021-01-01&amp;v%5Bcreated_on%5D%5B%5D=2024-06-30&amp;f%5B%5D=&amp;c%5B%5D=tracker&amp;c%5B%5D=status&amp;c%5B%5D=subject&amp;c%5B%5D=assigned_to&amp;c%5B%5D=created_on&amp;c%5B%5D=cf_74&amp;group_by=&amp;t%5B%5D=" xr:uid="{53165553-748A-4218-A4C1-AC969ADA2E05}"/>
    <hyperlink ref="I52" r:id="rId270" display="https://gertiq.senado.gov.br/redmine/projects/projeto007/issues?utf8=%E2%9C%93&amp;set_filter=1&amp;sort=created_on%2Cid%3Adesc&amp;f%5B%5D=status_id&amp;op%5Bstatus_id%5D=c&amp;f%5B%5D=cf_74&amp;op%5Bcf_74%5D=%3E%3C&amp;v%5Bcf_74%5D%5B%5D=2024-08-01&amp;v%5Bcf_74%5D%5B%5D=2024-08-31&amp;f%5B%5D=created_on&amp;op%5Bcreated_on%5D=%3E%3C&amp;v%5Bcreated_on%5D%5B%5D=2021-01-01&amp;v%5Bcreated_on%5D%5B%5D=2024-07-31&amp;f%5B%5D=&amp;c%5B%5D=tracker&amp;c%5B%5D=status&amp;c%5B%5D=subject&amp;c%5B%5D=assigned_to&amp;c%5B%5D=created_on&amp;c%5B%5D=cf_74&amp;group_by=&amp;t%5B%5D=" xr:uid="{296DE33D-55A8-4149-A1C7-01F3C14713AB}"/>
    <hyperlink ref="I53" r:id="rId271" display="https://gertiq.senado.gov.br/redmine/projects/projeto007/issues?utf8=%E2%9C%93&amp;set_filter=1&amp;sort=created_on%2Cid%3Adesc&amp;f%5B%5D=status_id&amp;op%5Bstatus_id%5D=c&amp;f%5B%5D=cf_74&amp;op%5Bcf_74%5D=%3E%3C&amp;v%5Bcf_74%5D%5B%5D=2024-09-01&amp;v%5Bcf_74%5D%5B%5D=2024-09-30&amp;f%5B%5D=created_on&amp;op%5Bcreated_on%5D=%3E%3C&amp;v%5Bcreated_on%5D%5B%5D=2021-01-01&amp;v%5Bcreated_on%5D%5B%5D=2024-08-31&amp;f%5B%5D=&amp;c%5B%5D=tracker&amp;c%5B%5D=status&amp;c%5B%5D=subject&amp;c%5B%5D=assigned_to&amp;c%5B%5D=created_on&amp;c%5B%5D=cf_74&amp;group_by=&amp;t%5B%5D=" xr:uid="{93FDDF01-06D4-4151-B485-E2DC04C887E3}"/>
  </hyperlinks>
  <pageMargins left="0.511811024" right="0.511811024" top="0.78740157499999996" bottom="0.78740157499999996" header="0.31496062000000002" footer="0.31496062000000002"/>
  <pageSetup paperSize="9" orientation="portrait" r:id="rId27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CD6BBFE58C6C46B4F21CAD64253908" ma:contentTypeVersion="18" ma:contentTypeDescription="Crie um novo documento." ma:contentTypeScope="" ma:versionID="14a0c50743971ad46e1b1622f953db30">
  <xsd:schema xmlns:xsd="http://www.w3.org/2001/XMLSchema" xmlns:xs="http://www.w3.org/2001/XMLSchema" xmlns:p="http://schemas.microsoft.com/office/2006/metadata/properties" xmlns:ns2="7bc2bbb7-2090-4f9b-9066-eb18d7bfee47" xmlns:ns3="68c90fb0-13d0-46b0-b2e2-ad4b9f3b21a8" targetNamespace="http://schemas.microsoft.com/office/2006/metadata/properties" ma:root="true" ma:fieldsID="69ac74269d814c421c92b150314b9dad" ns2:_="" ns3:_="">
    <xsd:import namespace="7bc2bbb7-2090-4f9b-9066-eb18d7bfee47"/>
    <xsd:import namespace="68c90fb0-13d0-46b0-b2e2-ad4b9f3b21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2bbb7-2090-4f9b-9066-eb18d7bfee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d2bda3a4-2e47-4d17-9188-24fd44e025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90fb0-13d0-46b0-b2e2-ad4b9f3b21a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56c7492-2b36-4a50-9a35-684ff29ad748}" ma:internalName="TaxCatchAll" ma:showField="CatchAllData" ma:web="68c90fb0-13d0-46b0-b2e2-ad4b9f3b21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c2bbb7-2090-4f9b-9066-eb18d7bfee47">
      <Terms xmlns="http://schemas.microsoft.com/office/infopath/2007/PartnerControls"/>
    </lcf76f155ced4ddcb4097134ff3c332f>
    <TaxCatchAll xmlns="68c90fb0-13d0-46b0-b2e2-ad4b9f3b21a8" xsi:nil="true"/>
    <SharedWithUsers xmlns="68c90fb0-13d0-46b0-b2e2-ad4b9f3b21a8">
      <UserInfo>
        <DisplayName>Andréa Soares Rodrigues</DisplayName>
        <AccountId>49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26D3833-7C3C-4871-BC48-014F07C12FB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FB843BD-CE38-457C-9A12-31B394DE5D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9A595E-B3EC-4025-977E-7E911589A8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c2bbb7-2090-4f9b-9066-eb18d7bfee47"/>
    <ds:schemaRef ds:uri="68c90fb0-13d0-46b0-b2e2-ad4b9f3b21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ABFF46F-C750-488F-BF01-29E60E734835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68c90fb0-13d0-46b0-b2e2-ad4b9f3b21a8"/>
    <ds:schemaRef ds:uri="7bc2bbb7-2090-4f9b-9066-eb18d7bfee47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Painel</vt:lpstr>
      <vt:lpstr>Fluxo de tickets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Fabricio Fernandes Santana</dc:creator>
  <cp:keywords/>
  <dc:description/>
  <cp:lastModifiedBy>Fabricio Fernandes Santana</cp:lastModifiedBy>
  <cp:revision/>
  <dcterms:created xsi:type="dcterms:W3CDTF">2022-04-11T18:57:56Z</dcterms:created>
  <dcterms:modified xsi:type="dcterms:W3CDTF">2024-10-18T20:43:24Z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0x010100BACD6BBFE58C6C46B4F21CAD64253908</vt:lpwstr>
  </property>
  <property fmtid="{D5CDD505-2E9C-101B-9397-08002B2CF9AE}" pid="3" name="MediaServiceImageTags">
    <vt:lpwstr/>
  </property>
</Properties>
</file>